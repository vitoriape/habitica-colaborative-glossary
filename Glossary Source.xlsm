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95E671F7-FD29-42D4-9E35-630FC2986179}" xr6:coauthVersionLast="47" xr6:coauthVersionMax="47" xr10:uidLastSave="{00000000-0000-0000-0000-000000000000}"/>
  <bookViews>
    <workbookView xWindow="1050" yWindow="-120" windowWidth="23070" windowHeight="13740" xr2:uid="{00000000-000D-0000-FFFF-FFFF00000000}"/>
  </bookViews>
  <sheets>
    <sheet name="Glossary" sheetId="4" r:id="rId1"/>
    <sheet name="Source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4" l="1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14" i="4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</calcChain>
</file>

<file path=xl/sharedStrings.xml><?xml version="1.0" encoding="utf-8"?>
<sst xmlns="http://schemas.openxmlformats.org/spreadsheetml/2006/main" count="1292" uniqueCount="599">
  <si>
    <t>Expressão</t>
  </si>
  <si>
    <t>Wind-Up</t>
  </si>
  <si>
    <t>Join</t>
  </si>
  <si>
    <t>Angústia</t>
  </si>
  <si>
    <t>Distress</t>
  </si>
  <si>
    <t>Peças</t>
  </si>
  <si>
    <t>Pieces</t>
  </si>
  <si>
    <t>Lançado</t>
  </si>
  <si>
    <t>Released</t>
  </si>
  <si>
    <t>Conjunto</t>
  </si>
  <si>
    <t>Personalizações</t>
  </si>
  <si>
    <t>Customizations</t>
  </si>
  <si>
    <t>Guerreiro(a)</t>
  </si>
  <si>
    <t>Warrior</t>
  </si>
  <si>
    <t>Classe</t>
  </si>
  <si>
    <t>Curandeiro(a)</t>
  </si>
  <si>
    <t>Healer</t>
  </si>
  <si>
    <t>Mago(a)</t>
  </si>
  <si>
    <t>Mage</t>
  </si>
  <si>
    <t>Gatuno(a)</t>
  </si>
  <si>
    <t>Rogue</t>
  </si>
  <si>
    <t>Estábulo</t>
  </si>
  <si>
    <t>Stable</t>
  </si>
  <si>
    <t>Mascote</t>
  </si>
  <si>
    <t>Pet</t>
  </si>
  <si>
    <t>Montaria</t>
  </si>
  <si>
    <t>Mount</t>
  </si>
  <si>
    <t>Filhote</t>
  </si>
  <si>
    <t>Grifo</t>
  </si>
  <si>
    <t>Gryphon</t>
  </si>
  <si>
    <t>Cacto</t>
  </si>
  <si>
    <t>Cactus</t>
  </si>
  <si>
    <t>Lula</t>
  </si>
  <si>
    <t>Cuttlefish</t>
  </si>
  <si>
    <t>Gosma de Marshmallow</t>
  </si>
  <si>
    <t>Marshmallow Slime</t>
  </si>
  <si>
    <t>Gosma</t>
  </si>
  <si>
    <t>Slime</t>
  </si>
  <si>
    <t>Lentópolis</t>
  </si>
  <si>
    <t>Dilatory</t>
  </si>
  <si>
    <t>Dragão</t>
  </si>
  <si>
    <t>Dragon</t>
  </si>
  <si>
    <t>Ovelha</t>
  </si>
  <si>
    <t>Sheep</t>
  </si>
  <si>
    <t>Baleia</t>
  </si>
  <si>
    <t>Whale</t>
  </si>
  <si>
    <t>Peru</t>
  </si>
  <si>
    <t>Turkey</t>
  </si>
  <si>
    <t>Arco-íris</t>
  </si>
  <si>
    <t>Rainbow</t>
  </si>
  <si>
    <t>Montaria Grifo Roxo</t>
  </si>
  <si>
    <t>Purple Gryphon mount</t>
  </si>
  <si>
    <t>Mascote Grifo Roxo</t>
  </si>
  <si>
    <t>Purple Gryphon pet</t>
  </si>
  <si>
    <t>Grupo</t>
  </si>
  <si>
    <t>Party</t>
  </si>
  <si>
    <t>Guilda</t>
  </si>
  <si>
    <t>Guild</t>
  </si>
  <si>
    <t>Taverna</t>
  </si>
  <si>
    <t>Tavern</t>
  </si>
  <si>
    <t>Mercado de Missões</t>
  </si>
  <si>
    <t>Quest Shop</t>
  </si>
  <si>
    <t>Missão</t>
  </si>
  <si>
    <t>Quest</t>
  </si>
  <si>
    <t>Pacote de Missões</t>
  </si>
  <si>
    <t>Quest Bundle</t>
  </si>
  <si>
    <t>Chefão</t>
  </si>
  <si>
    <t>Boss</t>
  </si>
  <si>
    <t>Desafio Público</t>
  </si>
  <si>
    <t>Public Challenge</t>
  </si>
  <si>
    <t>Desafio</t>
  </si>
  <si>
    <t>Assinatura</t>
  </si>
  <si>
    <t>Conquista</t>
  </si>
  <si>
    <t>Achievement</t>
  </si>
  <si>
    <t>Medalhas</t>
  </si>
  <si>
    <t>Badges</t>
  </si>
  <si>
    <t>Seeing Red Achievement</t>
  </si>
  <si>
    <t>Red Letter Day Achievement</t>
  </si>
  <si>
    <t>Conquista Participante do Concurso de Fantasia</t>
  </si>
  <si>
    <t>Costume Contestant Badge</t>
  </si>
  <si>
    <t>Bone Collector Achievement</t>
  </si>
  <si>
    <t>Skeleton Crew Achievement</t>
  </si>
  <si>
    <t>Alarming Friends Badge</t>
  </si>
  <si>
    <t>Conquista Bom como Ouro</t>
  </si>
  <si>
    <t>Conquista Tudo o que Brilha</t>
  </si>
  <si>
    <t>All That Glitters Achievement</t>
  </si>
  <si>
    <t>Conquista Amigos de Água Fresca</t>
  </si>
  <si>
    <t>Freshwater Friends Achievement</t>
  </si>
  <si>
    <t>Seasonal Shop</t>
  </si>
  <si>
    <t>Equipe do Habitica</t>
  </si>
  <si>
    <t>Habitica Staff</t>
  </si>
  <si>
    <t>Casos de Uso</t>
  </si>
  <si>
    <t>Use Case</t>
  </si>
  <si>
    <t>Diretrizes</t>
  </si>
  <si>
    <t>Guidelines</t>
  </si>
  <si>
    <t>Armário Encantado</t>
  </si>
  <si>
    <t>Enchanted Armoir</t>
  </si>
  <si>
    <t>Armário</t>
  </si>
  <si>
    <t>Armoire</t>
  </si>
  <si>
    <t>Cenário</t>
  </si>
  <si>
    <t>Esqueleto</t>
  </si>
  <si>
    <t>Skeleton</t>
  </si>
  <si>
    <t>Capacete de Grifo Roxo</t>
  </si>
  <si>
    <t>Purple Gryphon Helm</t>
  </si>
  <si>
    <t>Item</t>
  </si>
  <si>
    <t>Manto de Asa de Grifo Roxo</t>
  </si>
  <si>
    <t>Purple Gryphon Wing Cloak</t>
  </si>
  <si>
    <t>Purple Gryphon Tail</t>
  </si>
  <si>
    <t>Hábito</t>
  </si>
  <si>
    <t>Habit</t>
  </si>
  <si>
    <t>Tarefa</t>
  </si>
  <si>
    <t>Task</t>
  </si>
  <si>
    <t>Recompensa</t>
  </si>
  <si>
    <t>Reward</t>
  </si>
  <si>
    <t>Ouro</t>
  </si>
  <si>
    <t>Gemas</t>
  </si>
  <si>
    <t>Gems</t>
  </si>
  <si>
    <t>Liquidação de Gemas</t>
  </si>
  <si>
    <t>Gem Sale</t>
  </si>
  <si>
    <t>Drop</t>
  </si>
  <si>
    <t>Atributo</t>
  </si>
  <si>
    <t>Buff</t>
  </si>
  <si>
    <t>Acerto Crítico</t>
  </si>
  <si>
    <t>Critical Hit</t>
  </si>
  <si>
    <t>Constituição</t>
  </si>
  <si>
    <t>Constitution</t>
  </si>
  <si>
    <t>Inteligência</t>
  </si>
  <si>
    <t>Intelligence</t>
  </si>
  <si>
    <t>Percepção</t>
  </si>
  <si>
    <t>Perception</t>
  </si>
  <si>
    <t>Atributos de Personagem</t>
  </si>
  <si>
    <t>Character Stats</t>
  </si>
  <si>
    <t>Atributos</t>
  </si>
  <si>
    <t>Stats</t>
  </si>
  <si>
    <t>Avatar</t>
  </si>
  <si>
    <t>Espada</t>
  </si>
  <si>
    <t>Rapier</t>
  </si>
  <si>
    <t>Telescópio</t>
  </si>
  <si>
    <t>Telescope</t>
  </si>
  <si>
    <t>Eclodir</t>
  </si>
  <si>
    <t>Hatch</t>
  </si>
  <si>
    <t>Poções de Eclosão</t>
  </si>
  <si>
    <t>Hatching Potions</t>
  </si>
  <si>
    <t>Poção</t>
  </si>
  <si>
    <t>Poções Mágicas de Eclosão</t>
  </si>
  <si>
    <t>Magic Hatching Potions</t>
  </si>
  <si>
    <t>Frost Hatching Potions</t>
  </si>
  <si>
    <t>Poção Opaque</t>
  </si>
  <si>
    <t>Dia da Nomeação do Habitica</t>
  </si>
  <si>
    <t>Habitica Naming Day</t>
  </si>
  <si>
    <t>Evento</t>
  </si>
  <si>
    <t>Grande Gala</t>
  </si>
  <si>
    <t>Grand Gala</t>
  </si>
  <si>
    <t>Festival de Outono</t>
  </si>
  <si>
    <t>Fall Festival</t>
  </si>
  <si>
    <t>Habitoween</t>
  </si>
  <si>
    <t>Colheita</t>
  </si>
  <si>
    <t>Harvest Feast</t>
  </si>
  <si>
    <t>Autumn Leaf</t>
  </si>
  <si>
    <t>Concurso de Fantasias da Comunidade</t>
  </si>
  <si>
    <t>Community Costume Contest</t>
  </si>
  <si>
    <t>Desafio da Take This</t>
  </si>
  <si>
    <t>Take This Challenge</t>
  </si>
  <si>
    <t>Dados não compactados</t>
  </si>
  <si>
    <t>Uncompressed data</t>
  </si>
  <si>
    <t>Brilhos Assustadores</t>
  </si>
  <si>
    <t>Spookly Sparkles</t>
  </si>
  <si>
    <t>Itens de Transformação</t>
  </si>
  <si>
    <t>Transformation Itens</t>
  </si>
  <si>
    <t>Viajantes do Tempo</t>
  </si>
  <si>
    <t>Time Travelers</t>
  </si>
  <si>
    <t>Espuma do Mar</t>
  </si>
  <si>
    <t>Seafoam</t>
  </si>
  <si>
    <t>Mercado</t>
  </si>
  <si>
    <t>Mascote/Montaria</t>
  </si>
  <si>
    <t>Equipamento</t>
  </si>
  <si>
    <t>Monstro/Chefão</t>
  </si>
  <si>
    <t>Social</t>
  </si>
  <si>
    <t>Assinatura/Gemas</t>
  </si>
  <si>
    <t>Tarefas</t>
  </si>
  <si>
    <t>Comidas</t>
  </si>
  <si>
    <t>Legendas</t>
  </si>
  <si>
    <t>(+2 Intelligence Bonus!</t>
  </si>
  <si>
    <t>Bônus +2 de Inteligência!</t>
  </si>
  <si>
    <t>Accountability Buddy</t>
  </si>
  <si>
    <t>Amigo de Responsabilidade</t>
  </si>
  <si>
    <t>Achievement Unlocked: Self-Care</t>
  </si>
  <si>
    <t>Conquista Desbloqueada: Autocuidado</t>
  </si>
  <si>
    <t>Conquista Amigos Alarmantes</t>
  </si>
  <si>
    <t>Amber Alliance</t>
  </si>
  <si>
    <t>Aliança Âmbar</t>
  </si>
  <si>
    <t>App</t>
  </si>
  <si>
    <t>Aplicativo</t>
  </si>
  <si>
    <t>A Tangled Yarn</t>
  </si>
  <si>
    <t>Um Novelo Enrolado</t>
  </si>
  <si>
    <t>Auto Allocate</t>
  </si>
  <si>
    <t>Distribuição automática</t>
  </si>
  <si>
    <t>Folha de Outono</t>
  </si>
  <si>
    <t>Backer Tier</t>
  </si>
  <si>
    <t>Nível de Apoiador</t>
  </si>
  <si>
    <t>Background / Backdrop</t>
  </si>
  <si>
    <t>Backstab</t>
  </si>
  <si>
    <t>Facada nas Costas</t>
  </si>
  <si>
    <t>Badgering Bother</t>
  </si>
  <si>
    <t>Atormentexugo Azucrinante</t>
  </si>
  <si>
    <t>Basi-list</t>
  </si>
  <si>
    <t>Basi-lista</t>
  </si>
  <si>
    <t>Bear Cub</t>
  </si>
  <si>
    <t>Filhote de Urso</t>
  </si>
  <si>
    <t>Beast Master Achievement</t>
  </si>
  <si>
    <t>Conquista Mestre das Bestas</t>
  </si>
  <si>
    <t>Began a New Adventure</t>
  </si>
  <si>
    <t>Iniciou uma Nova Aventura</t>
  </si>
  <si>
    <t>Black Pearl</t>
  </si>
  <si>
    <t>Pérola Negra</t>
  </si>
  <si>
    <t>Blessing</t>
  </si>
  <si>
    <t>Bênção</t>
  </si>
  <si>
    <t>Conquista Colecionador de Ossos</t>
  </si>
  <si>
    <t>Bone Marrow Pot Pie</t>
  </si>
  <si>
    <t>Torta de Medula Óssea</t>
  </si>
  <si>
    <t>Boss Battle</t>
  </si>
  <si>
    <t>Missão de Chefão</t>
  </si>
  <si>
    <t>Brazen Beetle Battle</t>
  </si>
  <si>
    <t>Batalha do Besouro de Bronze</t>
  </si>
  <si>
    <t>Brutal Smash</t>
  </si>
  <si>
    <t>Golpe Brutal</t>
  </si>
  <si>
    <t>Bug</t>
  </si>
  <si>
    <t>Erro / Problema</t>
  </si>
  <si>
    <t>Burst of Flames</t>
  </si>
  <si>
    <t>Explosão de Chamas</t>
  </si>
  <si>
    <t>Canyon</t>
  </si>
  <si>
    <t>Desfiladeiro</t>
  </si>
  <si>
    <t>Cast of Characters!</t>
  </si>
  <si>
    <t>Elenco de Personagens!</t>
  </si>
  <si>
    <t>Checklist</t>
  </si>
  <si>
    <t>Lista de Tarefas</t>
  </si>
  <si>
    <t>Check Your HP!</t>
  </si>
  <si>
    <t>Verifique seu HP!</t>
  </si>
  <si>
    <t>Chilling Frost</t>
  </si>
  <si>
    <t>Geada Arrepiante</t>
  </si>
  <si>
    <t>Collection Quest</t>
  </si>
  <si>
    <t>Missão de Coleta</t>
  </si>
  <si>
    <t>Confers no benefit</t>
  </si>
  <si>
    <t>Não confere benefícios</t>
  </si>
  <si>
    <t>Contributor Achievement</t>
  </si>
  <si>
    <t>Conquista de Contribuidor</t>
  </si>
  <si>
    <t>Contributor tier</t>
  </si>
  <si>
    <t>Nível de contribuição</t>
  </si>
  <si>
    <t>Cozy</t>
  </si>
  <si>
    <t>Aconchegante</t>
  </si>
  <si>
    <t>Crevasse</t>
  </si>
  <si>
    <t>Fenda</t>
  </si>
  <si>
    <t>Customize</t>
  </si>
  <si>
    <t>Personalizar</t>
  </si>
  <si>
    <t>Daily / Dailies</t>
  </si>
  <si>
    <t>Diária / Diárias</t>
  </si>
  <si>
    <t>Dark Chocolate Pie</t>
  </si>
  <si>
    <t>Torta de Chocolate Preto</t>
  </si>
  <si>
    <t>Deer</t>
  </si>
  <si>
    <t>Cervo</t>
  </si>
  <si>
    <t>Defensive Stance</t>
  </si>
  <si>
    <t>Postura Defensiva</t>
  </si>
  <si>
    <t>Delete</t>
  </si>
  <si>
    <t>Excluir</t>
  </si>
  <si>
    <t>Dinosaur Unearthed</t>
  </si>
  <si>
    <t>Dinossauro Volta à Vida</t>
  </si>
  <si>
    <t>Dolphin of Doubt</t>
  </si>
  <si>
    <t>Golfinho da Dúvida</t>
  </si>
  <si>
    <t>Don't Be a Completionist!</t>
  </si>
  <si>
    <t>Não Seja um Completista!</t>
  </si>
  <si>
    <t>Do One Thing Well</t>
  </si>
  <si>
    <t>Faça Uma Coisa Direito</t>
  </si>
  <si>
    <t>Due date</t>
  </si>
  <si>
    <t>Data de vencimento</t>
  </si>
  <si>
    <t>Dungeons of Drudgery</t>
  </si>
  <si>
    <t>Masmorras da Labuta</t>
  </si>
  <si>
    <t>Earthquake</t>
  </si>
  <si>
    <t>Terremoto</t>
  </si>
  <si>
    <t>Egg-squisite Set</t>
  </si>
  <si>
    <t>Conjunto Primor-ovo</t>
  </si>
  <si>
    <t>Email / E-mail</t>
  </si>
  <si>
    <t>E-mail</t>
  </si>
  <si>
    <t>Enable Costume</t>
  </si>
  <si>
    <t>Habilitar Traje</t>
  </si>
  <si>
    <t>Enter Sandman!</t>
  </si>
  <si>
    <t>Pegar no Sono!</t>
  </si>
  <si>
    <t>Escape the Cave Creature</t>
  </si>
  <si>
    <t>Fuja da Criatura da Caverna</t>
  </si>
  <si>
    <t>Ethereal Surge</t>
  </si>
  <si>
    <t>Onda Etérea</t>
  </si>
  <si>
    <t>Evergreen</t>
  </si>
  <si>
    <t>Perene</t>
  </si>
  <si>
    <t>FAQ</t>
  </si>
  <si>
    <t>Perguntas Frequentes</t>
  </si>
  <si>
    <t>Farm Friends Quest Bundle</t>
  </si>
  <si>
    <t>Pacote de Missões Amigos da Fazenda</t>
  </si>
  <si>
    <t>Feature</t>
  </si>
  <si>
    <t>Funcionalidade</t>
  </si>
  <si>
    <t>Feed Me, Seymour!</t>
  </si>
  <si>
    <t>Me Alimente, Seymour!</t>
  </si>
  <si>
    <t>Find the Cub</t>
  </si>
  <si>
    <t>Encontre o Filhote</t>
  </si>
  <si>
    <t>Flotsam</t>
  </si>
  <si>
    <t>Destroços</t>
  </si>
  <si>
    <t>Flourishing Fields</t>
  </si>
  <si>
    <t>Campos Florescentes</t>
  </si>
  <si>
    <t>Poções de Eclosão Geada</t>
  </si>
  <si>
    <t>Gaining Inspiration Points!</t>
  </si>
  <si>
    <t>Ganhando Pontos de Inspiração!</t>
  </si>
  <si>
    <t>Game Master</t>
  </si>
  <si>
    <t>Mestre do Jogo</t>
  </si>
  <si>
    <t>Gear / Equipment</t>
  </si>
  <si>
    <t>Gold / GP</t>
  </si>
  <si>
    <t>Gold Knight</t>
  </si>
  <si>
    <t>Cavaleira Dourada</t>
  </si>
  <si>
    <t>Good as Gold Achievement</t>
  </si>
  <si>
    <t>Group Plan</t>
  </si>
  <si>
    <t>Plano de Time</t>
  </si>
  <si>
    <t>Gryphatrice</t>
  </si>
  <si>
    <t>Grifotriz</t>
  </si>
  <si>
    <t>Habit City's / Habit City</t>
  </si>
  <si>
    <t>Cidade dos Hábitos</t>
  </si>
  <si>
    <t>Habitican</t>
  </si>
  <si>
    <t>Habiticano</t>
  </si>
  <si>
    <t>Habitica University</t>
  </si>
  <si>
    <t>Universidade Habitica</t>
  </si>
  <si>
    <t>Hall of Contributors</t>
  </si>
  <si>
    <t>Salão dos Contribuidores</t>
  </si>
  <si>
    <t>Hall of Heroes</t>
  </si>
  <si>
    <t>Salão dos Heróis</t>
  </si>
  <si>
    <t>Hall of Patrons</t>
  </si>
  <si>
    <t>Salão dos Patrocinadores</t>
  </si>
  <si>
    <t>Harder</t>
  </si>
  <si>
    <t>Faster</t>
  </si>
  <si>
    <t>Headgear</t>
  </si>
  <si>
    <t>Capacete</t>
  </si>
  <si>
    <t>Healing Light</t>
  </si>
  <si>
    <t>Luz Curadora</t>
  </si>
  <si>
    <t>Health</t>
  </si>
  <si>
    <t>Vida</t>
  </si>
  <si>
    <t>Health Potion</t>
  </si>
  <si>
    <t>Poção de Vida</t>
  </si>
  <si>
    <t>Helm / Helmet</t>
  </si>
  <si>
    <t>Elmo</t>
  </si>
  <si>
    <t>Hero's Triumph!</t>
  </si>
  <si>
    <t>Triunfo do Herói!</t>
  </si>
  <si>
    <t>Hide</t>
  </si>
  <si>
    <t>Ocultar</t>
  </si>
  <si>
    <t>Holiday gift-giving promotion</t>
  </si>
  <si>
    <t>Promoção de presentes de férias</t>
  </si>
  <si>
    <t>Hopeful Hippogriff</t>
  </si>
  <si>
    <t>Hipogrifo Otimista</t>
  </si>
  <si>
    <t>Hurray</t>
  </si>
  <si>
    <t>Hurra</t>
  </si>
  <si>
    <t>I Am The Night!</t>
  </si>
  <si>
    <t>Eu Sou a Noite!</t>
  </si>
  <si>
    <t>Icy Arachnid</t>
  </si>
  <si>
    <t>Aracnídeo de Gelo</t>
  </si>
  <si>
    <t>Infestation of the NowDo Nudibranchs</t>
  </si>
  <si>
    <t>Infestação das Lesmas Marinhas FaçAgora</t>
  </si>
  <si>
    <t>Inkomplete Bay</t>
  </si>
  <si>
    <t>Baía Inkompleta</t>
  </si>
  <si>
    <t>Insta-Gator</t>
  </si>
  <si>
    <t>Éprajá-caré</t>
  </si>
  <si>
    <t>Intimidating Gaze</t>
  </si>
  <si>
    <t>Olhar Intimidante</t>
  </si>
  <si>
    <t>It's Dangerous to Go Alone!</t>
  </si>
  <si>
    <t>É Perigoso ir Sozinho!</t>
  </si>
  <si>
    <t>Jacko of the Lantern / Jack-o'-lantern</t>
  </si>
  <si>
    <t>Jack da Lanterna</t>
  </si>
  <si>
    <t>Jelly Regent</t>
  </si>
  <si>
    <t>Regente Geleia</t>
  </si>
  <si>
    <t>Juntar-se / Entrar / Participar</t>
  </si>
  <si>
    <t>Keep Calm and Carry On!</t>
  </si>
  <si>
    <t>Mantenha a Calma e Continue!</t>
  </si>
  <si>
    <t>Key to the Pet Kennels</t>
  </si>
  <si>
    <t>Chave dos Canis de Mascotes</t>
  </si>
  <si>
    <t>Kickstarter Backer</t>
  </si>
  <si>
    <t>Apoiador do Kickstarter</t>
  </si>
  <si>
    <t>Koi</t>
  </si>
  <si>
    <t>Limited Edition 2019 Summer Gear</t>
  </si>
  <si>
    <t>Equipamento de Edição Limitada do Verão de 2019</t>
  </si>
  <si>
    <t>Locked / Unlocked</t>
  </si>
  <si>
    <t>Bloqueado / Desbloqueado</t>
  </si>
  <si>
    <t>Login</t>
  </si>
  <si>
    <t>Mantis Shrimp</t>
  </si>
  <si>
    <t>Tamarucata</t>
  </si>
  <si>
    <t>Mistiflying Circus</t>
  </si>
  <si>
    <t>Circo de Borbópolis</t>
  </si>
  <si>
    <t>Monstrous Mandrill and the Mischief Monkeys</t>
  </si>
  <si>
    <t>Babuíno Monstruoso e os Macacos Travessos</t>
  </si>
  <si>
    <t>Mootant Cow</t>
  </si>
  <si>
    <t>Vaca Muutante</t>
  </si>
  <si>
    <t>Mount Master achievement</t>
  </si>
  <si>
    <t>Conquista Mestre das Montarias</t>
  </si>
  <si>
    <t>Mt. Habitica</t>
  </si>
  <si>
    <t>O Monte Habitica</t>
  </si>
  <si>
    <t>Multi-Player Co-op Exercise!</t>
  </si>
  <si>
    <t>Exercício Cooperativo com Multijogadores</t>
  </si>
  <si>
    <t>Mysterious Mechanical Marvels</t>
  </si>
  <si>
    <t>Misteriosas Maravilhas Mecânicas</t>
  </si>
  <si>
    <t>Mystic Hourglass</t>
  </si>
  <si>
    <t>Ampulheta Mística</t>
  </si>
  <si>
    <t>Mythical Marvels Quest Bundle</t>
  </si>
  <si>
    <t>Pacote de Missões Maravilhas Míticas</t>
  </si>
  <si>
    <t>New Stuff by Bailey</t>
  </si>
  <si>
    <t>Novidades da Bailey</t>
  </si>
  <si>
    <t>New Year's Resolution Guild Official Challenges</t>
  </si>
  <si>
    <t>Desafios Oficiais da Guilda New Year's Resolution</t>
  </si>
  <si>
    <t>Notice Me</t>
  </si>
  <si>
    <t>Senpai!</t>
  </si>
  <si>
    <t>Nudibranch / Sea slug</t>
  </si>
  <si>
    <t>Lesma Marinha</t>
  </si>
  <si>
    <t>Oarfish Armor</t>
  </si>
  <si>
    <t>Armadura de Regaleco</t>
  </si>
  <si>
    <t>Offline / Off-line</t>
  </si>
  <si>
    <t>Off-line</t>
  </si>
  <si>
    <t>Online / On-line</t>
  </si>
  <si>
    <t>On-line</t>
  </si>
  <si>
    <t>Opaque Potion</t>
  </si>
  <si>
    <t>Open source / Open-source</t>
  </si>
  <si>
    <t>Código aberto</t>
  </si>
  <si>
    <t>Orb of Rebirth</t>
  </si>
  <si>
    <t>Orbe do Renascimento</t>
  </si>
  <si>
    <t>Organize Your Inventory!</t>
  </si>
  <si>
    <t>Organize Seu Inventário!</t>
  </si>
  <si>
    <t>Pickpocket</t>
  </si>
  <si>
    <t>Bater Carteira</t>
  </si>
  <si>
    <t>Pinned / Unpinned</t>
  </si>
  <si>
    <t>Fixado / Desafixado</t>
  </si>
  <si>
    <t>Player Tiers</t>
  </si>
  <si>
    <t>Níveis de Jogador</t>
  </si>
  <si>
    <t>Playing the Long Con!</t>
  </si>
  <si>
    <t>Jogando na Long Con!</t>
  </si>
  <si>
    <t>Poinsettia Armor</t>
  </si>
  <si>
    <t>Armadura de Flor-Do-Natal</t>
  </si>
  <si>
    <t>Posts</t>
  </si>
  <si>
    <t>Publicações</t>
  </si>
  <si>
    <t>Protective Aura</t>
  </si>
  <si>
    <t>Aura Protetora</t>
  </si>
  <si>
    <t>Pterror-dactyl</t>
  </si>
  <si>
    <t>Pterror-dáctilo</t>
  </si>
  <si>
    <t>Pup / Cub</t>
  </si>
  <si>
    <t>Cauda de Grifo Roxo</t>
  </si>
  <si>
    <t>Rage Bar / Rage Meter</t>
  </si>
  <si>
    <t>Barra de Fúria</t>
  </si>
  <si>
    <t>Rainbow Trout Tail</t>
  </si>
  <si>
    <t>Cauda de Truta Arco-íris</t>
  </si>
  <si>
    <t>Random</t>
  </si>
  <si>
    <t>Aleatório</t>
  </si>
  <si>
    <t>Reaper</t>
  </si>
  <si>
    <t>Ceifador</t>
  </si>
  <si>
    <t>Conquista Tapete Vermelho</t>
  </si>
  <si>
    <t>Ride the Night-Mare</t>
  </si>
  <si>
    <t>Cavalgue o Pesadelo</t>
  </si>
  <si>
    <t>Robes</t>
  </si>
  <si>
    <t>Túnica / Vestes</t>
  </si>
  <si>
    <t>Rolling a Natural 1!</t>
  </si>
  <si>
    <t>Jogada Azarada!</t>
  </si>
  <si>
    <t>Royal Purple Jackalope</t>
  </si>
  <si>
    <t>Sandy Sidekicks Quest Bundle</t>
  </si>
  <si>
    <t>Pacote de Missões Parceiros Arenosos</t>
  </si>
  <si>
    <t>Screenshot</t>
  </si>
  <si>
    <t>Captura de tela</t>
  </si>
  <si>
    <t>Scroll</t>
  </si>
  <si>
    <t>Pergaminho</t>
  </si>
  <si>
    <t>Searing Brightness</t>
  </si>
  <si>
    <t>Brilho Escaldante</t>
  </si>
  <si>
    <t>Mercado Sazonal</t>
  </si>
  <si>
    <t>Conquista Cartão Vermelho</t>
  </si>
  <si>
    <t>Serpent of Distraction</t>
  </si>
  <si>
    <t>Serpente da Distração</t>
  </si>
  <si>
    <t>SET 72: Released May 2020</t>
  </si>
  <si>
    <t>Conjunto 72: Lançado em Maio de 2020</t>
  </si>
  <si>
    <t>SET / Set</t>
  </si>
  <si>
    <t>Shimmer</t>
  </si>
  <si>
    <t>Cintilante</t>
  </si>
  <si>
    <t>Conquista Equipe Esqueleto'</t>
  </si>
  <si>
    <t>Somnolent Sloth</t>
  </si>
  <si>
    <t>Preguiça Sonolenta</t>
  </si>
  <si>
    <t>Spell</t>
  </si>
  <si>
    <t>Magia</t>
  </si>
  <si>
    <t>Staff</t>
  </si>
  <si>
    <t>Cajado</t>
  </si>
  <si>
    <t>Standard Pet</t>
  </si>
  <si>
    <t>Mascote Básico</t>
  </si>
  <si>
    <t>Startling Starry Idea</t>
  </si>
  <si>
    <t>Surpreendente Ideia Estrelada</t>
  </si>
  <si>
    <t>Statuesque Armor</t>
  </si>
  <si>
    <t>Armadura Estatuária</t>
  </si>
  <si>
    <t>Stealth</t>
  </si>
  <si>
    <t>Furtividade</t>
  </si>
  <si>
    <t>Stoïkalm</t>
  </si>
  <si>
    <t>Streak Bonus</t>
  </si>
  <si>
    <t>Bônus de combo</t>
  </si>
  <si>
    <t>Streaks</t>
  </si>
  <si>
    <t>Combos</t>
  </si>
  <si>
    <t>Strength / STR</t>
  </si>
  <si>
    <t>Força / FOR</t>
  </si>
  <si>
    <t>Subscriber</t>
  </si>
  <si>
    <t>Assinante</t>
  </si>
  <si>
    <t>Subscription / Membership</t>
  </si>
  <si>
    <t>Sunshine</t>
  </si>
  <si>
    <t>Raio solar</t>
  </si>
  <si>
    <t>Tag</t>
  </si>
  <si>
    <t>Etiqueta</t>
  </si>
  <si>
    <t>Tame</t>
  </si>
  <si>
    <t>Domar</t>
  </si>
  <si>
    <t>Tangle Tree</t>
  </si>
  <si>
    <t>Árvore Enrolada</t>
  </si>
  <si>
    <t>Tavern Chat</t>
  </si>
  <si>
    <t>Bate-papo da Taverna</t>
  </si>
  <si>
    <t>Terror in the Taskwoods</t>
  </si>
  <si>
    <t>Horror em Matarefa</t>
  </si>
  <si>
    <t>Test Thy Courage!</t>
  </si>
  <si>
    <t>Teste a Tua Coragem!</t>
  </si>
  <si>
    <t>The Indulgent Armadillo</t>
  </si>
  <si>
    <t>A Tatu Indulgente</t>
  </si>
  <si>
    <t>The / In / Of Habitica</t>
  </si>
  <si>
    <t>O / No / Do Habitica</t>
  </si>
  <si>
    <t>This One Goes to 11!</t>
  </si>
  <si>
    <t>Esse Vai Para o 11!</t>
  </si>
  <si>
    <t>Thunder Ram</t>
  </si>
  <si>
    <t>Carneiro do Trovão</t>
  </si>
  <si>
    <t>Tier</t>
  </si>
  <si>
    <t>Nível</t>
  </si>
  <si>
    <t>To Do / To Do's</t>
  </si>
  <si>
    <t>Afazer / Afazeres</t>
  </si>
  <si>
    <t>Tools of the Trade</t>
  </si>
  <si>
    <t>Ferramentas do Ofício</t>
  </si>
  <si>
    <t>Trampling Triceratops</t>
  </si>
  <si>
    <t>Triceratops Pisoteador</t>
  </si>
  <si>
    <t>Trapper Santa</t>
  </si>
  <si>
    <t>Noel Caçador</t>
  </si>
  <si>
    <t>Triad Bingo achievement</t>
  </si>
  <si>
    <t>Conquista Bingo Tríade</t>
  </si>
  <si>
    <t>Turquoise Treasure Toil</t>
  </si>
  <si>
    <t>Trabalho de Tesouro Turquesa</t>
  </si>
  <si>
    <t>Unallocated Stat Points</t>
  </si>
  <si>
    <t>Pontos de Atributos não distribuídos</t>
  </si>
  <si>
    <t>Unbuffed</t>
  </si>
  <si>
    <t>Sem buffs</t>
  </si>
  <si>
    <t>Until check-out</t>
  </si>
  <si>
    <t>Até o fim do dia</t>
  </si>
  <si>
    <t>User ID</t>
  </si>
  <si>
    <t>ID de Usuário</t>
  </si>
  <si>
    <t>Valorous Presence</t>
  </si>
  <si>
    <t>Presença Valorosa</t>
  </si>
  <si>
    <t>Veloci-Rapper</t>
  </si>
  <si>
    <t>Wacky Pets</t>
  </si>
  <si>
    <t>Mascotes Malucos</t>
  </si>
  <si>
    <t>De corda</t>
  </si>
  <si>
    <t>Witchy Familiars Quest Bundle</t>
  </si>
  <si>
    <t>Pacote de Missões Familiares Bruxos</t>
  </si>
  <si>
    <t>Woolly Mammoth</t>
  </si>
  <si>
    <t>Mamute Felpudo</t>
  </si>
  <si>
    <t>Workshop</t>
  </si>
  <si>
    <t>Oficina</t>
  </si>
  <si>
    <t>World Boss</t>
  </si>
  <si>
    <t>Chefão Global</t>
  </si>
  <si>
    <t>World Boss Event</t>
  </si>
  <si>
    <t>Evento de Chefão Global</t>
  </si>
  <si>
    <t>XP</t>
  </si>
  <si>
    <t>EXP</t>
  </si>
  <si>
    <t>Yeti</t>
  </si>
  <si>
    <t>Iéti</t>
  </si>
  <si>
    <t>You've Got a Friend in Me!</t>
  </si>
  <si>
    <t>Você Me Tem Como Amigo!</t>
  </si>
  <si>
    <t>Egg Hunt</t>
  </si>
  <si>
    <t>Caça ao Ovo</t>
  </si>
  <si>
    <t>Cryptic</t>
  </si>
  <si>
    <t>Enigmático</t>
  </si>
  <si>
    <t>Thistle</t>
  </si>
  <si>
    <t>Alcachofra</t>
  </si>
  <si>
    <t>Cattails</t>
  </si>
  <si>
    <t>Taboas</t>
  </si>
  <si>
    <t>Lady Glaciate</t>
  </si>
  <si>
    <t>Lady Glaceana</t>
  </si>
  <si>
    <t>ID</t>
  </si>
  <si>
    <t>English (EN)</t>
  </si>
  <si>
    <t>Português Brasileiro (PT-BR)</t>
  </si>
  <si>
    <t>Labels</t>
  </si>
  <si>
    <t>Expression</t>
  </si>
  <si>
    <t>Mission</t>
  </si>
  <si>
    <t>Class</t>
  </si>
  <si>
    <t>Event</t>
  </si>
  <si>
    <t>Challenge</t>
  </si>
  <si>
    <t>Market</t>
  </si>
  <si>
    <t>Iten</t>
  </si>
  <si>
    <t>Equipament</t>
  </si>
  <si>
    <t>Subscription/Gems</t>
  </si>
  <si>
    <t>Tasks</t>
  </si>
  <si>
    <t>Foods</t>
  </si>
  <si>
    <t>Label</t>
  </si>
  <si>
    <t>Legenda</t>
  </si>
  <si>
    <t>Key</t>
  </si>
  <si>
    <t>Achievements</t>
  </si>
  <si>
    <t>Potion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</si>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</sst>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000"/>
  </numFmts>
  <fonts count="3">
    <font>
      <sz val="10"/>
      <color rgb="FF000000"/>
      <name val="Arial"/>
      <charset val="134"/>
    </font>
    <font>
      <sz val="10"/>
      <color rgb="FF000000"/>
      <name val="Arial"/>
      <family val="2"/>
    </font>
    <font>
      <b/>
      <sz val="10"/>
      <color theme="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 applyFont="1" applyAlignment="1"/>
    <xf numFmtId="0" fontId="1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52B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361372</xdr:colOff>
      <xdr:row>0</xdr:row>
      <xdr:rowOff>102695</xdr:rowOff>
    </xdr:from>
    <xdr:to>
      <xdr:col>1</xdr:col>
      <xdr:colOff>708342</xdr:colOff>
      <xdr:row>11</xdr:row>
      <xdr:rowOff>39687</xdr:rowOff>
    </xdr:to>
    <xdr:pic>
      <xdr:nvPicPr>
        <xdr:cNvPr id="2" name="Picture 1" descr="146200170934203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 flipH="1" flipV="1">
          <a:off x="361372" y="102695"/>
          <a:ext cx="1728095" cy="1683242"/>
        </a:xfrm>
        <a:prstGeom prst="rect">
          <a:avLst/>
        </a:prstGeom>
      </xdr:spPr>
    </xdr:pic>
    <xdr:clientData/>
  </xdr:twoCellAnchor>
  <xdr:twoCellAnchor>
    <xdr:from>
      <xdr:col>4</xdr:col>
      <xdr:colOff>1101725</xdr:colOff>
      <xdr:row>0</xdr:row>
      <xdr:rowOff>127001</xdr:rowOff>
    </xdr:from>
    <xdr:to>
      <xdr:col>5</xdr:col>
      <xdr:colOff>1143000</xdr:colOff>
      <xdr:row>2</xdr:row>
      <xdr:rowOff>142876</xdr:rowOff>
    </xdr:to>
    <xdr:sp macro="[0]!CreateCSV.CreateCSV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3EA1DA7-9289-4CF0-9CC7-9E7C97762A71}"/>
            </a:ext>
          </a:extLst>
        </xdr:cNvPr>
        <xdr:cNvSpPr/>
      </xdr:nvSpPr>
      <xdr:spPr>
        <a:xfrm>
          <a:off x="9864725" y="127001"/>
          <a:ext cx="1184275" cy="333375"/>
        </a:xfrm>
        <a:prstGeom prst="roundRect">
          <a:avLst/>
        </a:prstGeom>
        <a:solidFill>
          <a:srgbClr val="652B91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Export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99"/>
  <sheetViews>
    <sheetView showGridLines="0" tabSelected="1" zoomScale="120" zoomScaleNormal="120" workbookViewId="0">
      <pane ySplit="13" topLeftCell="A14" activePane="bottomLeft" state="frozen"/>
      <selection pane="bottomLeft" activeCell="A14" sqref="A14"/>
    </sheetView>
  </sheetViews>
  <sheetFormatPr defaultColWidth="9.140625" defaultRowHeight="12.75"/>
  <cols>
    <col min="1" max="1" width="20.7109375" style="6" customWidth="1"/>
    <col min="2" max="2" width="42.140625" style="2" bestFit="1" customWidth="1"/>
    <col min="3" max="3" width="23.42578125" style="2" customWidth="1"/>
    <col min="4" max="4" width="45.140625" style="2" bestFit="1" customWidth="1"/>
    <col min="5" max="5" width="17.140625" style="2" customWidth="1"/>
    <col min="6" max="6" width="20.7109375" style="6" customWidth="1"/>
    <col min="27" max="27" width="17" bestFit="1" customWidth="1"/>
    <col min="28" max="28" width="16.5703125" bestFit="1" customWidth="1"/>
    <col min="29" max="29" width="10.85546875" customWidth="1"/>
  </cols>
  <sheetData>
    <row r="1" spans="1:29">
      <c r="A1" s="10"/>
      <c r="B1" s="10"/>
      <c r="C1" s="10"/>
      <c r="D1" s="10"/>
      <c r="E1" s="10"/>
      <c r="F1" s="10"/>
    </row>
    <row r="2" spans="1:29">
      <c r="A2" s="10"/>
      <c r="B2" s="10"/>
      <c r="C2" s="10"/>
      <c r="D2" s="10"/>
      <c r="E2" s="10"/>
      <c r="F2" s="10"/>
    </row>
    <row r="3" spans="1:29">
      <c r="A3" s="10"/>
      <c r="B3" s="10"/>
      <c r="C3" s="10"/>
      <c r="D3" s="10"/>
      <c r="E3" s="10"/>
      <c r="F3" s="10"/>
    </row>
    <row r="4" spans="1:29">
      <c r="A4" s="10"/>
      <c r="B4" s="10"/>
      <c r="C4" s="10"/>
      <c r="D4" s="10"/>
      <c r="E4" s="10"/>
      <c r="F4" s="10"/>
    </row>
    <row r="5" spans="1:29">
      <c r="A5" s="10"/>
      <c r="B5" s="10"/>
      <c r="C5" s="10"/>
      <c r="D5" s="10"/>
      <c r="E5" s="10"/>
      <c r="F5" s="10"/>
    </row>
    <row r="6" spans="1:29">
      <c r="A6" s="10"/>
      <c r="B6" s="10"/>
      <c r="C6" s="10"/>
      <c r="D6" s="10"/>
      <c r="E6" s="10"/>
      <c r="F6" s="10"/>
    </row>
    <row r="7" spans="1:29">
      <c r="A7" s="10"/>
      <c r="B7" s="10"/>
      <c r="C7" s="10"/>
      <c r="D7" s="10"/>
      <c r="E7" s="10"/>
      <c r="F7" s="10"/>
    </row>
    <row r="8" spans="1:29">
      <c r="A8" s="10"/>
      <c r="B8" s="10"/>
      <c r="C8" s="10"/>
      <c r="D8" s="10"/>
      <c r="E8" s="10"/>
      <c r="F8" s="10"/>
    </row>
    <row r="9" spans="1:29">
      <c r="A9" s="10"/>
      <c r="B9" s="10"/>
      <c r="C9" s="10"/>
      <c r="D9" s="10"/>
      <c r="E9" s="10"/>
      <c r="F9" s="10"/>
    </row>
    <row r="10" spans="1:29">
      <c r="A10" s="10"/>
      <c r="B10" s="10"/>
      <c r="C10" s="10"/>
      <c r="D10" s="10"/>
      <c r="E10" s="10"/>
      <c r="F10" s="10"/>
    </row>
    <row r="11" spans="1:29">
      <c r="A11" s="10"/>
      <c r="B11" s="10"/>
      <c r="C11" s="10"/>
      <c r="D11" s="10"/>
      <c r="E11" s="10"/>
      <c r="F11" s="10"/>
    </row>
    <row r="12" spans="1:29">
      <c r="A12" s="10"/>
      <c r="B12" s="10"/>
      <c r="C12" s="10"/>
      <c r="D12" s="10"/>
      <c r="E12" s="10"/>
      <c r="F12" s="10"/>
    </row>
    <row r="13" spans="1:29">
      <c r="A13" s="7" t="s">
        <v>578</v>
      </c>
      <c r="B13" s="8" t="s">
        <v>579</v>
      </c>
      <c r="C13" s="8" t="s">
        <v>593</v>
      </c>
      <c r="D13" s="8" t="s">
        <v>580</v>
      </c>
      <c r="E13" s="8" t="s">
        <v>594</v>
      </c>
      <c r="F13" s="9" t="s">
        <v>595</v>
      </c>
    </row>
    <row r="14" spans="1:29">
      <c r="A14" s="6">
        <v>1</v>
      </c>
      <c r="B14" s="2" t="s">
        <v>182</v>
      </c>
      <c r="C14" s="2" t="s">
        <v>586</v>
      </c>
      <c r="D14" s="2" t="s">
        <v>183</v>
      </c>
      <c r="E14" s="2" t="s">
        <v>70</v>
      </c>
      <c r="F14" s="6">
        <f>IFERROR(VLOOKUP(E14,$AB:$AC,2,0),"")</f>
        <v>4</v>
      </c>
      <c r="AA14" s="1" t="s">
        <v>581</v>
      </c>
      <c r="AB14" s="1" t="s">
        <v>181</v>
      </c>
      <c r="AC14" s="4" t="s">
        <v>578</v>
      </c>
    </row>
    <row r="15" spans="1:29">
      <c r="A15" s="6">
        <v>2</v>
      </c>
      <c r="B15" s="2" t="s">
        <v>184</v>
      </c>
      <c r="C15" s="2" t="s">
        <v>177</v>
      </c>
      <c r="D15" s="2" t="s">
        <v>185</v>
      </c>
      <c r="E15" s="2" t="s">
        <v>177</v>
      </c>
      <c r="F15" s="6">
        <f t="shared" ref="F15:F78" si="0">IFERROR(VLOOKUP(E15,$AB:$AC,2,0),"")</f>
        <v>15</v>
      </c>
      <c r="AA15" s="1" t="s">
        <v>582</v>
      </c>
      <c r="AB15" s="2" t="s">
        <v>0</v>
      </c>
      <c r="AC15" s="5">
        <v>1</v>
      </c>
    </row>
    <row r="16" spans="1:29">
      <c r="A16" s="6">
        <v>3</v>
      </c>
      <c r="B16" s="2" t="s">
        <v>73</v>
      </c>
      <c r="C16" s="2" t="s">
        <v>596</v>
      </c>
      <c r="D16" s="2" t="s">
        <v>72</v>
      </c>
      <c r="E16" s="2" t="s">
        <v>72</v>
      </c>
      <c r="F16" s="6">
        <f t="shared" si="0"/>
        <v>5</v>
      </c>
      <c r="AA16" s="1" t="s">
        <v>584</v>
      </c>
      <c r="AB16" s="2" t="s">
        <v>14</v>
      </c>
      <c r="AC16" s="5">
        <v>2</v>
      </c>
    </row>
    <row r="17" spans="1:29">
      <c r="A17" s="6">
        <v>4</v>
      </c>
      <c r="B17" s="2" t="s">
        <v>186</v>
      </c>
      <c r="C17" s="2" t="s">
        <v>596</v>
      </c>
      <c r="D17" s="2" t="s">
        <v>187</v>
      </c>
      <c r="E17" s="2" t="s">
        <v>72</v>
      </c>
      <c r="F17" s="6">
        <f t="shared" si="0"/>
        <v>5</v>
      </c>
      <c r="AA17" s="1" t="s">
        <v>583</v>
      </c>
      <c r="AB17" s="2" t="s">
        <v>62</v>
      </c>
      <c r="AC17" s="5">
        <v>3</v>
      </c>
    </row>
    <row r="18" spans="1:29">
      <c r="A18" s="6">
        <v>5</v>
      </c>
      <c r="B18" s="2" t="s">
        <v>82</v>
      </c>
      <c r="C18" s="2" t="s">
        <v>596</v>
      </c>
      <c r="D18" s="2" t="s">
        <v>188</v>
      </c>
      <c r="E18" s="2" t="s">
        <v>72</v>
      </c>
      <c r="F18" s="6">
        <f t="shared" si="0"/>
        <v>5</v>
      </c>
      <c r="AA18" s="1" t="s">
        <v>586</v>
      </c>
      <c r="AB18" s="2" t="s">
        <v>70</v>
      </c>
      <c r="AC18" s="5">
        <v>4</v>
      </c>
    </row>
    <row r="19" spans="1:29">
      <c r="A19" s="6">
        <v>6</v>
      </c>
      <c r="B19" s="2" t="s">
        <v>85</v>
      </c>
      <c r="C19" s="1" t="s">
        <v>596</v>
      </c>
      <c r="D19" s="2" t="s">
        <v>84</v>
      </c>
      <c r="E19" s="1" t="s">
        <v>72</v>
      </c>
      <c r="F19" s="6">
        <f t="shared" si="0"/>
        <v>5</v>
      </c>
      <c r="AA19" s="1" t="s">
        <v>596</v>
      </c>
      <c r="AB19" s="2" t="s">
        <v>72</v>
      </c>
      <c r="AC19" s="5">
        <v>5</v>
      </c>
    </row>
    <row r="20" spans="1:29">
      <c r="A20" s="6">
        <v>7</v>
      </c>
      <c r="B20" s="2" t="s">
        <v>189</v>
      </c>
      <c r="C20" s="1" t="s">
        <v>598</v>
      </c>
      <c r="D20" s="2" t="s">
        <v>190</v>
      </c>
      <c r="E20" s="1"/>
      <c r="F20" s="6" t="str">
        <f t="shared" si="0"/>
        <v/>
      </c>
      <c r="AA20" s="1" t="s">
        <v>587</v>
      </c>
      <c r="AB20" s="2" t="s">
        <v>173</v>
      </c>
      <c r="AC20" s="5">
        <v>6</v>
      </c>
    </row>
    <row r="21" spans="1:29">
      <c r="A21" s="6">
        <v>8</v>
      </c>
      <c r="B21" s="2" t="s">
        <v>191</v>
      </c>
      <c r="C21" s="2" t="s">
        <v>582</v>
      </c>
      <c r="D21" s="2" t="s">
        <v>192</v>
      </c>
      <c r="E21" s="2" t="s">
        <v>0</v>
      </c>
      <c r="F21" s="6">
        <f t="shared" si="0"/>
        <v>1</v>
      </c>
      <c r="AA21" s="1" t="s">
        <v>588</v>
      </c>
      <c r="AB21" s="2" t="s">
        <v>104</v>
      </c>
      <c r="AC21" s="5">
        <v>7</v>
      </c>
    </row>
    <row r="22" spans="1:29">
      <c r="A22" s="6">
        <v>9</v>
      </c>
      <c r="B22" s="2" t="s">
        <v>98</v>
      </c>
      <c r="C22" s="2" t="s">
        <v>589</v>
      </c>
      <c r="D22" s="2" t="s">
        <v>97</v>
      </c>
      <c r="E22" s="2" t="s">
        <v>175</v>
      </c>
      <c r="F22" s="6">
        <f t="shared" si="0"/>
        <v>14</v>
      </c>
      <c r="AA22" s="1" t="s">
        <v>131</v>
      </c>
      <c r="AB22" s="2" t="s">
        <v>120</v>
      </c>
      <c r="AC22" s="5">
        <v>8</v>
      </c>
    </row>
    <row r="23" spans="1:29">
      <c r="A23" s="6">
        <v>10</v>
      </c>
      <c r="B23" s="2" t="s">
        <v>193</v>
      </c>
      <c r="C23" s="2" t="s">
        <v>583</v>
      </c>
      <c r="D23" s="2" t="s">
        <v>194</v>
      </c>
      <c r="E23" s="2" t="s">
        <v>62</v>
      </c>
      <c r="F23" s="6">
        <f t="shared" si="0"/>
        <v>3</v>
      </c>
      <c r="AA23" s="1" t="s">
        <v>134</v>
      </c>
      <c r="AB23" s="2" t="s">
        <v>134</v>
      </c>
      <c r="AC23" s="5">
        <v>9</v>
      </c>
    </row>
    <row r="24" spans="1:29">
      <c r="A24" s="6">
        <v>11</v>
      </c>
      <c r="B24" s="2" t="s">
        <v>195</v>
      </c>
      <c r="C24" s="2" t="s">
        <v>134</v>
      </c>
      <c r="D24" s="2" t="s">
        <v>196</v>
      </c>
      <c r="E24" s="2" t="s">
        <v>134</v>
      </c>
      <c r="F24" s="6">
        <f t="shared" si="0"/>
        <v>9</v>
      </c>
      <c r="AA24" s="1" t="s">
        <v>597</v>
      </c>
      <c r="AB24" s="2" t="s">
        <v>143</v>
      </c>
      <c r="AC24" s="5">
        <v>10</v>
      </c>
    </row>
    <row r="25" spans="1:29">
      <c r="A25" s="6">
        <v>12</v>
      </c>
      <c r="B25" s="2" t="s">
        <v>158</v>
      </c>
      <c r="C25" s="2" t="s">
        <v>598</v>
      </c>
      <c r="D25" s="2" t="s">
        <v>197</v>
      </c>
      <c r="F25" s="6" t="str">
        <f t="shared" si="0"/>
        <v/>
      </c>
      <c r="AA25" s="1" t="s">
        <v>585</v>
      </c>
      <c r="AB25" s="2" t="s">
        <v>150</v>
      </c>
      <c r="AC25" s="5">
        <v>11</v>
      </c>
    </row>
    <row r="26" spans="1:29">
      <c r="A26" s="6">
        <v>13</v>
      </c>
      <c r="B26" s="2" t="s">
        <v>134</v>
      </c>
      <c r="C26" s="2" t="s">
        <v>582</v>
      </c>
      <c r="D26" s="2" t="s">
        <v>134</v>
      </c>
      <c r="E26" s="2" t="s">
        <v>0</v>
      </c>
      <c r="F26" s="6">
        <f t="shared" si="0"/>
        <v>1</v>
      </c>
      <c r="AA26" s="1" t="s">
        <v>24</v>
      </c>
      <c r="AB26" s="2" t="s">
        <v>174</v>
      </c>
      <c r="AC26" s="5">
        <v>12</v>
      </c>
    </row>
    <row r="27" spans="1:29">
      <c r="A27" s="6">
        <v>14</v>
      </c>
      <c r="B27" s="2" t="s">
        <v>198</v>
      </c>
      <c r="C27" s="2" t="s">
        <v>598</v>
      </c>
      <c r="D27" s="2" t="s">
        <v>199</v>
      </c>
      <c r="F27" s="6" t="str">
        <f t="shared" si="0"/>
        <v/>
      </c>
      <c r="AA27" s="1" t="s">
        <v>67</v>
      </c>
      <c r="AB27" s="2" t="s">
        <v>176</v>
      </c>
      <c r="AC27" s="5">
        <v>13</v>
      </c>
    </row>
    <row r="28" spans="1:29">
      <c r="A28" s="6">
        <v>15</v>
      </c>
      <c r="B28" s="2" t="s">
        <v>200</v>
      </c>
      <c r="C28" s="2" t="s">
        <v>582</v>
      </c>
      <c r="D28" s="2" t="s">
        <v>99</v>
      </c>
      <c r="E28" s="2" t="s">
        <v>0</v>
      </c>
      <c r="F28" s="6">
        <f t="shared" si="0"/>
        <v>1</v>
      </c>
      <c r="AA28" s="1" t="s">
        <v>589</v>
      </c>
      <c r="AB28" s="2" t="s">
        <v>175</v>
      </c>
      <c r="AC28" s="5">
        <v>14</v>
      </c>
    </row>
    <row r="29" spans="1:29">
      <c r="A29" s="6">
        <v>16</v>
      </c>
      <c r="B29" s="2" t="s">
        <v>201</v>
      </c>
      <c r="C29" s="2" t="s">
        <v>598</v>
      </c>
      <c r="D29" s="2" t="s">
        <v>202</v>
      </c>
      <c r="F29" s="6" t="str">
        <f t="shared" si="0"/>
        <v/>
      </c>
      <c r="AA29" s="1" t="s">
        <v>177</v>
      </c>
      <c r="AB29" s="2" t="s">
        <v>177</v>
      </c>
      <c r="AC29" s="5">
        <v>15</v>
      </c>
    </row>
    <row r="30" spans="1:29">
      <c r="A30" s="6">
        <v>17</v>
      </c>
      <c r="B30" s="2" t="s">
        <v>203</v>
      </c>
      <c r="C30" s="2" t="s">
        <v>598</v>
      </c>
      <c r="D30" s="2" t="s">
        <v>204</v>
      </c>
      <c r="F30" s="6" t="str">
        <f t="shared" si="0"/>
        <v/>
      </c>
      <c r="AA30" s="1" t="s">
        <v>590</v>
      </c>
      <c r="AB30" s="2" t="s">
        <v>178</v>
      </c>
      <c r="AC30" s="5">
        <v>16</v>
      </c>
    </row>
    <row r="31" spans="1:29">
      <c r="A31" s="6">
        <v>18</v>
      </c>
      <c r="B31" s="2" t="s">
        <v>75</v>
      </c>
      <c r="C31" s="2" t="s">
        <v>598</v>
      </c>
      <c r="D31" s="2" t="s">
        <v>74</v>
      </c>
      <c r="F31" s="6" t="str">
        <f t="shared" si="0"/>
        <v/>
      </c>
      <c r="AA31" s="1" t="s">
        <v>591</v>
      </c>
      <c r="AB31" s="2" t="s">
        <v>179</v>
      </c>
      <c r="AC31" s="5">
        <v>17</v>
      </c>
    </row>
    <row r="32" spans="1:29">
      <c r="A32" s="6">
        <v>19</v>
      </c>
      <c r="B32" s="2" t="s">
        <v>205</v>
      </c>
      <c r="C32" s="2" t="s">
        <v>583</v>
      </c>
      <c r="D32" s="2" t="s">
        <v>206</v>
      </c>
      <c r="E32" s="2" t="s">
        <v>62</v>
      </c>
      <c r="F32" s="6">
        <f t="shared" si="0"/>
        <v>3</v>
      </c>
      <c r="AA32" s="1" t="s">
        <v>592</v>
      </c>
      <c r="AB32" s="1" t="s">
        <v>180</v>
      </c>
      <c r="AC32" s="5">
        <v>18</v>
      </c>
    </row>
    <row r="33" spans="1:6">
      <c r="A33" s="6">
        <v>20</v>
      </c>
      <c r="B33" s="2" t="s">
        <v>207</v>
      </c>
      <c r="C33" s="2" t="s">
        <v>583</v>
      </c>
      <c r="D33" s="2" t="s">
        <v>208</v>
      </c>
      <c r="E33" s="2" t="s">
        <v>62</v>
      </c>
      <c r="F33" s="6">
        <f t="shared" si="0"/>
        <v>3</v>
      </c>
    </row>
    <row r="34" spans="1:6">
      <c r="A34" s="6">
        <v>21</v>
      </c>
      <c r="B34" s="2" t="s">
        <v>209</v>
      </c>
      <c r="C34" s="2" t="s">
        <v>596</v>
      </c>
      <c r="D34" s="2" t="s">
        <v>210</v>
      </c>
      <c r="E34" s="2" t="s">
        <v>72</v>
      </c>
      <c r="F34" s="6">
        <f t="shared" si="0"/>
        <v>5</v>
      </c>
    </row>
    <row r="35" spans="1:6">
      <c r="A35" s="6">
        <v>22</v>
      </c>
      <c r="B35" s="2" t="s">
        <v>211</v>
      </c>
      <c r="C35" s="2" t="s">
        <v>596</v>
      </c>
      <c r="D35" s="2" t="s">
        <v>212</v>
      </c>
      <c r="E35" s="2" t="s">
        <v>72</v>
      </c>
      <c r="F35" s="6">
        <f t="shared" si="0"/>
        <v>5</v>
      </c>
    </row>
    <row r="36" spans="1:6">
      <c r="A36" s="6">
        <v>23</v>
      </c>
      <c r="B36" s="2" t="s">
        <v>213</v>
      </c>
      <c r="C36" s="2" t="s">
        <v>597</v>
      </c>
      <c r="D36" s="2" t="s">
        <v>214</v>
      </c>
      <c r="E36" s="2" t="s">
        <v>143</v>
      </c>
      <c r="F36" s="6">
        <f t="shared" si="0"/>
        <v>10</v>
      </c>
    </row>
    <row r="37" spans="1:6">
      <c r="A37" s="6">
        <v>24</v>
      </c>
      <c r="B37" s="2" t="s">
        <v>215</v>
      </c>
      <c r="C37" s="2" t="s">
        <v>584</v>
      </c>
      <c r="D37" s="2" t="s">
        <v>216</v>
      </c>
      <c r="E37" s="2" t="s">
        <v>14</v>
      </c>
      <c r="F37" s="6">
        <f t="shared" si="0"/>
        <v>2</v>
      </c>
    </row>
    <row r="38" spans="1:6">
      <c r="A38" s="6">
        <v>25</v>
      </c>
      <c r="B38" s="2" t="s">
        <v>80</v>
      </c>
      <c r="C38" s="2" t="s">
        <v>596</v>
      </c>
      <c r="D38" s="2" t="s">
        <v>217</v>
      </c>
      <c r="E38" s="2" t="s">
        <v>72</v>
      </c>
      <c r="F38" s="6">
        <f t="shared" si="0"/>
        <v>5</v>
      </c>
    </row>
    <row r="39" spans="1:6">
      <c r="A39" s="6">
        <v>26</v>
      </c>
      <c r="B39" s="2" t="s">
        <v>218</v>
      </c>
      <c r="C39" s="2" t="s">
        <v>592</v>
      </c>
      <c r="D39" s="2" t="s">
        <v>219</v>
      </c>
      <c r="E39" s="2" t="s">
        <v>180</v>
      </c>
      <c r="F39" s="6">
        <f t="shared" si="0"/>
        <v>18</v>
      </c>
    </row>
    <row r="40" spans="1:6">
      <c r="A40" s="6">
        <v>27</v>
      </c>
      <c r="B40" s="2" t="s">
        <v>67</v>
      </c>
      <c r="C40" s="2" t="s">
        <v>67</v>
      </c>
      <c r="D40" s="2" t="s">
        <v>66</v>
      </c>
      <c r="E40" s="2" t="s">
        <v>176</v>
      </c>
      <c r="F40" s="6">
        <f t="shared" si="0"/>
        <v>13</v>
      </c>
    </row>
    <row r="41" spans="1:6">
      <c r="A41" s="6">
        <v>28</v>
      </c>
      <c r="B41" s="2" t="s">
        <v>220</v>
      </c>
      <c r="C41" s="2" t="s">
        <v>67</v>
      </c>
      <c r="D41" s="2" t="s">
        <v>221</v>
      </c>
      <c r="E41" s="2" t="s">
        <v>176</v>
      </c>
      <c r="F41" s="6">
        <f t="shared" si="0"/>
        <v>13</v>
      </c>
    </row>
    <row r="42" spans="1:6">
      <c r="A42" s="6">
        <v>29</v>
      </c>
      <c r="B42" s="2" t="s">
        <v>222</v>
      </c>
      <c r="C42" s="2" t="s">
        <v>598</v>
      </c>
      <c r="D42" s="2" t="s">
        <v>223</v>
      </c>
      <c r="F42" s="6" t="str">
        <f t="shared" si="0"/>
        <v/>
      </c>
    </row>
    <row r="43" spans="1:6">
      <c r="A43" s="6">
        <v>30</v>
      </c>
      <c r="B43" s="2" t="s">
        <v>224</v>
      </c>
      <c r="C43" s="2" t="s">
        <v>584</v>
      </c>
      <c r="D43" s="2" t="s">
        <v>225</v>
      </c>
      <c r="E43" s="2" t="s">
        <v>14</v>
      </c>
      <c r="F43" s="6">
        <f t="shared" si="0"/>
        <v>2</v>
      </c>
    </row>
    <row r="44" spans="1:6">
      <c r="A44" s="6">
        <v>31</v>
      </c>
      <c r="B44" s="2" t="s">
        <v>121</v>
      </c>
      <c r="C44" s="2" t="s">
        <v>582</v>
      </c>
      <c r="D44" s="2" t="s">
        <v>121</v>
      </c>
      <c r="E44" s="2" t="s">
        <v>0</v>
      </c>
      <c r="F44" s="6">
        <f t="shared" si="0"/>
        <v>1</v>
      </c>
    </row>
    <row r="45" spans="1:6">
      <c r="A45" s="6">
        <v>32</v>
      </c>
      <c r="B45" s="2" t="s">
        <v>226</v>
      </c>
      <c r="C45" s="2" t="s">
        <v>582</v>
      </c>
      <c r="D45" s="2" t="s">
        <v>227</v>
      </c>
      <c r="E45" s="2" t="s">
        <v>0</v>
      </c>
      <c r="F45" s="6">
        <f t="shared" si="0"/>
        <v>1</v>
      </c>
    </row>
    <row r="46" spans="1:6">
      <c r="A46" s="6">
        <v>33</v>
      </c>
      <c r="B46" s="2" t="s">
        <v>228</v>
      </c>
      <c r="C46" s="2" t="s">
        <v>584</v>
      </c>
      <c r="D46" s="2" t="s">
        <v>229</v>
      </c>
      <c r="E46" s="2" t="s">
        <v>14</v>
      </c>
      <c r="F46" s="6">
        <f t="shared" si="0"/>
        <v>2</v>
      </c>
    </row>
    <row r="47" spans="1:6">
      <c r="A47" s="6">
        <v>34</v>
      </c>
      <c r="B47" s="2" t="s">
        <v>31</v>
      </c>
      <c r="C47" s="2" t="s">
        <v>24</v>
      </c>
      <c r="D47" s="2" t="s">
        <v>30</v>
      </c>
      <c r="E47" s="2" t="s">
        <v>174</v>
      </c>
      <c r="F47" s="6">
        <f t="shared" si="0"/>
        <v>12</v>
      </c>
    </row>
    <row r="48" spans="1:6">
      <c r="A48" s="6">
        <v>35</v>
      </c>
      <c r="B48" s="2" t="s">
        <v>230</v>
      </c>
      <c r="C48" s="2" t="s">
        <v>582</v>
      </c>
      <c r="D48" s="2" t="s">
        <v>231</v>
      </c>
      <c r="E48" s="2" t="s">
        <v>0</v>
      </c>
      <c r="F48" s="6">
        <f t="shared" si="0"/>
        <v>1</v>
      </c>
    </row>
    <row r="49" spans="1:6">
      <c r="A49" s="6">
        <v>36</v>
      </c>
      <c r="B49" s="2" t="s">
        <v>232</v>
      </c>
      <c r="C49" s="2" t="s">
        <v>598</v>
      </c>
      <c r="D49" s="2" t="s">
        <v>233</v>
      </c>
      <c r="F49" s="6" t="str">
        <f t="shared" si="0"/>
        <v/>
      </c>
    </row>
    <row r="50" spans="1:6">
      <c r="A50" s="6">
        <v>37</v>
      </c>
      <c r="B50" s="2" t="s">
        <v>131</v>
      </c>
      <c r="C50" s="2" t="s">
        <v>131</v>
      </c>
      <c r="D50" s="2" t="s">
        <v>130</v>
      </c>
      <c r="E50" s="2" t="s">
        <v>120</v>
      </c>
      <c r="F50" s="6">
        <f t="shared" si="0"/>
        <v>8</v>
      </c>
    </row>
    <row r="51" spans="1:6">
      <c r="A51" s="6">
        <v>38</v>
      </c>
      <c r="B51" s="2" t="s">
        <v>234</v>
      </c>
      <c r="C51" s="2" t="s">
        <v>582</v>
      </c>
      <c r="D51" s="2" t="s">
        <v>235</v>
      </c>
      <c r="E51" s="2" t="s">
        <v>0</v>
      </c>
      <c r="F51" s="6">
        <f t="shared" si="0"/>
        <v>1</v>
      </c>
    </row>
    <row r="52" spans="1:6">
      <c r="A52" s="6">
        <v>39</v>
      </c>
      <c r="B52" s="2" t="s">
        <v>236</v>
      </c>
      <c r="C52" s="2" t="s">
        <v>598</v>
      </c>
      <c r="D52" s="2" t="s">
        <v>237</v>
      </c>
      <c r="F52" s="6" t="str">
        <f t="shared" si="0"/>
        <v/>
      </c>
    </row>
    <row r="53" spans="1:6">
      <c r="A53" s="6">
        <v>40</v>
      </c>
      <c r="B53" s="2" t="s">
        <v>238</v>
      </c>
      <c r="C53" s="2" t="s">
        <v>584</v>
      </c>
      <c r="D53" s="2" t="s">
        <v>239</v>
      </c>
      <c r="E53" s="2" t="s">
        <v>14</v>
      </c>
      <c r="F53" s="6">
        <f t="shared" si="0"/>
        <v>2</v>
      </c>
    </row>
    <row r="54" spans="1:6">
      <c r="A54" s="6">
        <v>41</v>
      </c>
      <c r="B54" s="2" t="s">
        <v>240</v>
      </c>
      <c r="C54" s="2" t="s">
        <v>583</v>
      </c>
      <c r="D54" s="2" t="s">
        <v>241</v>
      </c>
      <c r="E54" s="2" t="s">
        <v>62</v>
      </c>
      <c r="F54" s="6">
        <f t="shared" si="0"/>
        <v>3</v>
      </c>
    </row>
    <row r="55" spans="1:6">
      <c r="A55" s="6">
        <v>42</v>
      </c>
      <c r="B55" s="2" t="s">
        <v>160</v>
      </c>
      <c r="C55" s="2" t="s">
        <v>598</v>
      </c>
      <c r="D55" s="2" t="s">
        <v>159</v>
      </c>
      <c r="F55" s="6" t="str">
        <f t="shared" si="0"/>
        <v/>
      </c>
    </row>
    <row r="56" spans="1:6">
      <c r="A56" s="6">
        <v>43</v>
      </c>
      <c r="B56" s="2" t="s">
        <v>242</v>
      </c>
      <c r="C56" s="2" t="s">
        <v>582</v>
      </c>
      <c r="D56" s="2" t="s">
        <v>243</v>
      </c>
      <c r="E56" s="2" t="s">
        <v>0</v>
      </c>
      <c r="F56" s="6">
        <f t="shared" si="0"/>
        <v>1</v>
      </c>
    </row>
    <row r="57" spans="1:6">
      <c r="A57" s="6">
        <v>44</v>
      </c>
      <c r="B57" s="2" t="s">
        <v>125</v>
      </c>
      <c r="C57" s="2" t="s">
        <v>131</v>
      </c>
      <c r="D57" s="2" t="s">
        <v>124</v>
      </c>
      <c r="E57" s="2" t="s">
        <v>120</v>
      </c>
      <c r="F57" s="6">
        <f t="shared" si="0"/>
        <v>8</v>
      </c>
    </row>
    <row r="58" spans="1:6">
      <c r="A58" s="6">
        <v>45</v>
      </c>
      <c r="B58" s="2" t="s">
        <v>244</v>
      </c>
      <c r="C58" s="2" t="s">
        <v>596</v>
      </c>
      <c r="D58" s="2" t="s">
        <v>245</v>
      </c>
      <c r="E58" s="2" t="s">
        <v>72</v>
      </c>
      <c r="F58" s="6">
        <f t="shared" si="0"/>
        <v>5</v>
      </c>
    </row>
    <row r="59" spans="1:6">
      <c r="A59" s="6">
        <v>46</v>
      </c>
      <c r="B59" s="2" t="s">
        <v>246</v>
      </c>
      <c r="C59" s="2" t="s">
        <v>582</v>
      </c>
      <c r="D59" s="2" t="s">
        <v>247</v>
      </c>
      <c r="E59" s="2" t="s">
        <v>0</v>
      </c>
      <c r="F59" s="6">
        <f t="shared" si="0"/>
        <v>1</v>
      </c>
    </row>
    <row r="60" spans="1:6">
      <c r="A60" s="6">
        <v>47</v>
      </c>
      <c r="B60" s="2" t="s">
        <v>79</v>
      </c>
      <c r="C60" s="2" t="s">
        <v>598</v>
      </c>
      <c r="D60" s="2" t="s">
        <v>78</v>
      </c>
      <c r="F60" s="6" t="str">
        <f t="shared" si="0"/>
        <v/>
      </c>
    </row>
    <row r="61" spans="1:6">
      <c r="A61" s="6">
        <v>48</v>
      </c>
      <c r="B61" s="2" t="s">
        <v>248</v>
      </c>
      <c r="C61" s="2" t="s">
        <v>582</v>
      </c>
      <c r="D61" s="2" t="s">
        <v>249</v>
      </c>
      <c r="E61" s="2" t="s">
        <v>0</v>
      </c>
      <c r="F61" s="6">
        <f t="shared" si="0"/>
        <v>1</v>
      </c>
    </row>
    <row r="62" spans="1:6">
      <c r="A62" s="6">
        <v>49</v>
      </c>
      <c r="B62" s="2" t="s">
        <v>250</v>
      </c>
      <c r="C62" s="2" t="s">
        <v>582</v>
      </c>
      <c r="D62" s="2" t="s">
        <v>251</v>
      </c>
      <c r="E62" s="2" t="s">
        <v>0</v>
      </c>
      <c r="F62" s="6">
        <f t="shared" si="0"/>
        <v>1</v>
      </c>
    </row>
    <row r="63" spans="1:6">
      <c r="A63" s="6">
        <v>50</v>
      </c>
      <c r="B63" s="2" t="s">
        <v>123</v>
      </c>
      <c r="C63" s="2" t="s">
        <v>598</v>
      </c>
      <c r="D63" s="2" t="s">
        <v>122</v>
      </c>
      <c r="F63" s="6" t="str">
        <f t="shared" si="0"/>
        <v/>
      </c>
    </row>
    <row r="64" spans="1:6">
      <c r="A64" s="6">
        <v>51</v>
      </c>
      <c r="B64" s="2" t="s">
        <v>11</v>
      </c>
      <c r="C64" s="2" t="s">
        <v>582</v>
      </c>
      <c r="D64" s="2" t="s">
        <v>10</v>
      </c>
      <c r="E64" s="2" t="s">
        <v>0</v>
      </c>
      <c r="F64" s="6">
        <f t="shared" si="0"/>
        <v>1</v>
      </c>
    </row>
    <row r="65" spans="1:6">
      <c r="A65" s="6">
        <v>52</v>
      </c>
      <c r="B65" s="2" t="s">
        <v>252</v>
      </c>
      <c r="C65" s="2" t="s">
        <v>582</v>
      </c>
      <c r="D65" s="2" t="s">
        <v>253</v>
      </c>
      <c r="E65" s="2" t="s">
        <v>0</v>
      </c>
      <c r="F65" s="6">
        <f t="shared" si="0"/>
        <v>1</v>
      </c>
    </row>
    <row r="66" spans="1:6">
      <c r="A66" s="6">
        <v>53</v>
      </c>
      <c r="B66" s="2" t="s">
        <v>33</v>
      </c>
      <c r="C66" s="2" t="s">
        <v>24</v>
      </c>
      <c r="D66" s="2" t="s">
        <v>32</v>
      </c>
      <c r="E66" s="2" t="s">
        <v>174</v>
      </c>
      <c r="F66" s="6">
        <f t="shared" si="0"/>
        <v>12</v>
      </c>
    </row>
    <row r="67" spans="1:6">
      <c r="A67" s="6">
        <v>54</v>
      </c>
      <c r="B67" s="2" t="s">
        <v>254</v>
      </c>
      <c r="C67" s="2" t="s">
        <v>591</v>
      </c>
      <c r="D67" s="2" t="s">
        <v>255</v>
      </c>
      <c r="E67" s="2" t="s">
        <v>179</v>
      </c>
      <c r="F67" s="6">
        <f t="shared" si="0"/>
        <v>17</v>
      </c>
    </row>
    <row r="68" spans="1:6">
      <c r="A68" s="6">
        <v>55</v>
      </c>
      <c r="B68" s="2" t="s">
        <v>256</v>
      </c>
      <c r="C68" s="2" t="s">
        <v>592</v>
      </c>
      <c r="D68" s="2" t="s">
        <v>257</v>
      </c>
      <c r="E68" s="2" t="s">
        <v>180</v>
      </c>
      <c r="F68" s="6">
        <f t="shared" si="0"/>
        <v>18</v>
      </c>
    </row>
    <row r="69" spans="1:6">
      <c r="A69" s="6">
        <v>56</v>
      </c>
      <c r="B69" s="2" t="s">
        <v>258</v>
      </c>
      <c r="C69" s="2" t="s">
        <v>24</v>
      </c>
      <c r="D69" s="2" t="s">
        <v>259</v>
      </c>
      <c r="E69" s="2" t="s">
        <v>174</v>
      </c>
      <c r="F69" s="6">
        <f t="shared" si="0"/>
        <v>12</v>
      </c>
    </row>
    <row r="70" spans="1:6">
      <c r="A70" s="6">
        <v>57</v>
      </c>
      <c r="B70" s="2" t="s">
        <v>260</v>
      </c>
      <c r="C70" s="2" t="s">
        <v>24</v>
      </c>
      <c r="D70" s="2" t="s">
        <v>261</v>
      </c>
      <c r="E70" s="2" t="s">
        <v>174</v>
      </c>
      <c r="F70" s="6">
        <f t="shared" si="0"/>
        <v>12</v>
      </c>
    </row>
    <row r="71" spans="1:6">
      <c r="A71" s="6">
        <v>58</v>
      </c>
      <c r="B71" s="2" t="s">
        <v>262</v>
      </c>
      <c r="C71" s="2" t="s">
        <v>582</v>
      </c>
      <c r="D71" s="2" t="s">
        <v>263</v>
      </c>
      <c r="E71" s="2" t="s">
        <v>0</v>
      </c>
      <c r="F71" s="6">
        <f t="shared" si="0"/>
        <v>1</v>
      </c>
    </row>
    <row r="72" spans="1:6">
      <c r="A72" s="6">
        <v>59</v>
      </c>
      <c r="B72" s="2" t="s">
        <v>39</v>
      </c>
      <c r="C72" s="2" t="s">
        <v>598</v>
      </c>
      <c r="D72" s="2" t="s">
        <v>38</v>
      </c>
      <c r="F72" s="6" t="str">
        <f t="shared" si="0"/>
        <v/>
      </c>
    </row>
    <row r="73" spans="1:6">
      <c r="A73" s="6">
        <v>60</v>
      </c>
      <c r="B73" s="2" t="s">
        <v>264</v>
      </c>
      <c r="C73" s="2" t="s">
        <v>598</v>
      </c>
      <c r="D73" s="2" t="s">
        <v>265</v>
      </c>
      <c r="F73" s="6" t="str">
        <f t="shared" si="0"/>
        <v/>
      </c>
    </row>
    <row r="74" spans="1:6">
      <c r="A74" s="6">
        <v>61</v>
      </c>
      <c r="B74" s="2" t="s">
        <v>4</v>
      </c>
      <c r="C74" s="2" t="s">
        <v>582</v>
      </c>
      <c r="D74" s="2" t="s">
        <v>3</v>
      </c>
      <c r="E74" s="2" t="s">
        <v>0</v>
      </c>
      <c r="F74" s="6">
        <f t="shared" si="0"/>
        <v>1</v>
      </c>
    </row>
    <row r="75" spans="1:6">
      <c r="A75" s="6">
        <v>62</v>
      </c>
      <c r="B75" s="2" t="s">
        <v>266</v>
      </c>
      <c r="C75" s="2" t="s">
        <v>583</v>
      </c>
      <c r="D75" s="2" t="s">
        <v>267</v>
      </c>
      <c r="E75" s="2" t="s">
        <v>62</v>
      </c>
      <c r="F75" s="6">
        <f t="shared" si="0"/>
        <v>3</v>
      </c>
    </row>
    <row r="76" spans="1:6">
      <c r="A76" s="6">
        <v>63</v>
      </c>
      <c r="B76" s="2" t="s">
        <v>268</v>
      </c>
      <c r="C76" s="2" t="s">
        <v>598</v>
      </c>
      <c r="D76" s="2" t="s">
        <v>269</v>
      </c>
      <c r="F76" s="6" t="str">
        <f t="shared" si="0"/>
        <v/>
      </c>
    </row>
    <row r="77" spans="1:6">
      <c r="A77" s="6">
        <v>64</v>
      </c>
      <c r="B77" s="2" t="s">
        <v>270</v>
      </c>
      <c r="C77" s="2" t="s">
        <v>598</v>
      </c>
      <c r="D77" s="2" t="s">
        <v>271</v>
      </c>
      <c r="F77" s="6" t="str">
        <f t="shared" si="0"/>
        <v/>
      </c>
    </row>
    <row r="78" spans="1:6">
      <c r="A78" s="6">
        <v>65</v>
      </c>
      <c r="B78" s="2" t="s">
        <v>41</v>
      </c>
      <c r="C78" s="2" t="s">
        <v>24</v>
      </c>
      <c r="D78" s="2" t="s">
        <v>40</v>
      </c>
      <c r="E78" s="2" t="s">
        <v>174</v>
      </c>
      <c r="F78" s="6">
        <f t="shared" si="0"/>
        <v>12</v>
      </c>
    </row>
    <row r="79" spans="1:6">
      <c r="A79" s="6">
        <v>66</v>
      </c>
      <c r="B79" s="2" t="s">
        <v>119</v>
      </c>
      <c r="C79" s="2" t="s">
        <v>582</v>
      </c>
      <c r="D79" s="2" t="s">
        <v>119</v>
      </c>
      <c r="E79" s="2" t="s">
        <v>0</v>
      </c>
      <c r="F79" s="6">
        <f t="shared" ref="F79:F142" si="1">IFERROR(VLOOKUP(E79,$AB:$AC,2,0),"")</f>
        <v>1</v>
      </c>
    </row>
    <row r="80" spans="1:6">
      <c r="A80" s="6">
        <v>67</v>
      </c>
      <c r="B80" s="2" t="s">
        <v>272</v>
      </c>
      <c r="C80" s="2" t="s">
        <v>582</v>
      </c>
      <c r="D80" s="2" t="s">
        <v>273</v>
      </c>
      <c r="E80" s="2" t="s">
        <v>0</v>
      </c>
      <c r="F80" s="6">
        <f t="shared" si="1"/>
        <v>1</v>
      </c>
    </row>
    <row r="81" spans="1:6">
      <c r="A81" s="6">
        <v>68</v>
      </c>
      <c r="B81" s="2" t="s">
        <v>274</v>
      </c>
      <c r="C81" s="2" t="s">
        <v>598</v>
      </c>
      <c r="D81" s="2" t="s">
        <v>275</v>
      </c>
      <c r="F81" s="6" t="str">
        <f t="shared" si="1"/>
        <v/>
      </c>
    </row>
    <row r="82" spans="1:6">
      <c r="A82" s="6">
        <v>69</v>
      </c>
      <c r="B82" s="2" t="s">
        <v>276</v>
      </c>
      <c r="C82" s="2" t="s">
        <v>584</v>
      </c>
      <c r="D82" s="2" t="s">
        <v>277</v>
      </c>
      <c r="E82" s="2" t="s">
        <v>14</v>
      </c>
      <c r="F82" s="6">
        <f t="shared" si="1"/>
        <v>2</v>
      </c>
    </row>
    <row r="83" spans="1:6">
      <c r="A83" s="6">
        <v>70</v>
      </c>
      <c r="B83" s="2" t="s">
        <v>278</v>
      </c>
      <c r="C83" s="2" t="s">
        <v>590</v>
      </c>
      <c r="D83" s="2" t="s">
        <v>279</v>
      </c>
      <c r="E83" s="2" t="s">
        <v>178</v>
      </c>
      <c r="F83" s="6">
        <f t="shared" si="1"/>
        <v>16</v>
      </c>
    </row>
    <row r="84" spans="1:6">
      <c r="A84" s="6">
        <v>71</v>
      </c>
      <c r="B84" s="2" t="s">
        <v>280</v>
      </c>
      <c r="C84" s="2" t="s">
        <v>582</v>
      </c>
      <c r="D84" s="2" t="s">
        <v>281</v>
      </c>
      <c r="E84" s="2" t="s">
        <v>0</v>
      </c>
      <c r="F84" s="6">
        <f t="shared" si="1"/>
        <v>1</v>
      </c>
    </row>
    <row r="85" spans="1:6">
      <c r="A85" s="6">
        <v>72</v>
      </c>
      <c r="B85" s="2" t="s">
        <v>282</v>
      </c>
      <c r="C85" s="2" t="s">
        <v>134</v>
      </c>
      <c r="D85" s="2" t="s">
        <v>283</v>
      </c>
      <c r="E85" s="2" t="s">
        <v>134</v>
      </c>
      <c r="F85" s="6">
        <f t="shared" si="1"/>
        <v>9</v>
      </c>
    </row>
    <row r="86" spans="1:6">
      <c r="A86" s="6">
        <v>73</v>
      </c>
      <c r="B86" s="2" t="s">
        <v>96</v>
      </c>
      <c r="C86" s="2" t="s">
        <v>589</v>
      </c>
      <c r="D86" s="2" t="s">
        <v>95</v>
      </c>
      <c r="E86" s="2" t="s">
        <v>175</v>
      </c>
      <c r="F86" s="6">
        <f t="shared" si="1"/>
        <v>14</v>
      </c>
    </row>
    <row r="87" spans="1:6">
      <c r="A87" s="6">
        <v>74</v>
      </c>
      <c r="B87" s="2" t="s">
        <v>284</v>
      </c>
      <c r="C87" s="2" t="s">
        <v>598</v>
      </c>
      <c r="D87" s="2" t="s">
        <v>285</v>
      </c>
      <c r="F87" s="6" t="str">
        <f t="shared" si="1"/>
        <v/>
      </c>
    </row>
    <row r="88" spans="1:6">
      <c r="A88" s="6">
        <v>75</v>
      </c>
      <c r="B88" s="2" t="s">
        <v>286</v>
      </c>
      <c r="C88" s="2" t="s">
        <v>598</v>
      </c>
      <c r="D88" s="2" t="s">
        <v>287</v>
      </c>
      <c r="F88" s="6" t="str">
        <f t="shared" si="1"/>
        <v/>
      </c>
    </row>
    <row r="89" spans="1:6">
      <c r="A89" s="6">
        <v>76</v>
      </c>
      <c r="B89" s="2" t="s">
        <v>288</v>
      </c>
      <c r="C89" s="2" t="s">
        <v>584</v>
      </c>
      <c r="D89" s="2" t="s">
        <v>289</v>
      </c>
      <c r="E89" s="2" t="s">
        <v>14</v>
      </c>
      <c r="F89" s="6">
        <f t="shared" si="1"/>
        <v>2</v>
      </c>
    </row>
    <row r="90" spans="1:6">
      <c r="A90" s="6">
        <v>77</v>
      </c>
      <c r="B90" s="2" t="s">
        <v>290</v>
      </c>
      <c r="C90" s="2" t="s">
        <v>582</v>
      </c>
      <c r="D90" s="2" t="s">
        <v>291</v>
      </c>
      <c r="E90" s="2" t="s">
        <v>0</v>
      </c>
      <c r="F90" s="6">
        <f t="shared" si="1"/>
        <v>1</v>
      </c>
    </row>
    <row r="91" spans="1:6">
      <c r="A91" s="6">
        <v>78</v>
      </c>
      <c r="B91" s="2" t="s">
        <v>154</v>
      </c>
      <c r="C91" s="2" t="s">
        <v>598</v>
      </c>
      <c r="D91" s="2" t="s">
        <v>153</v>
      </c>
      <c r="F91" s="6" t="str">
        <f t="shared" si="1"/>
        <v/>
      </c>
    </row>
    <row r="92" spans="1:6">
      <c r="A92" s="6">
        <v>79</v>
      </c>
      <c r="B92" s="2" t="s">
        <v>292</v>
      </c>
      <c r="C92" s="2" t="s">
        <v>582</v>
      </c>
      <c r="D92" s="2" t="s">
        <v>293</v>
      </c>
      <c r="E92" s="2" t="s">
        <v>0</v>
      </c>
      <c r="F92" s="6">
        <f t="shared" si="1"/>
        <v>1</v>
      </c>
    </row>
    <row r="93" spans="1:6">
      <c r="A93" s="6">
        <v>80</v>
      </c>
      <c r="B93" s="2" t="s">
        <v>294</v>
      </c>
      <c r="C93" s="2" t="s">
        <v>598</v>
      </c>
      <c r="D93" s="2" t="s">
        <v>295</v>
      </c>
      <c r="F93" s="6" t="str">
        <f t="shared" si="1"/>
        <v/>
      </c>
    </row>
    <row r="94" spans="1:6">
      <c r="A94" s="6">
        <v>81</v>
      </c>
      <c r="B94" s="2" t="s">
        <v>296</v>
      </c>
      <c r="C94" s="2" t="s">
        <v>582</v>
      </c>
      <c r="D94" s="2" t="s">
        <v>297</v>
      </c>
      <c r="E94" s="2" t="s">
        <v>0</v>
      </c>
      <c r="F94" s="6">
        <f t="shared" si="1"/>
        <v>1</v>
      </c>
    </row>
    <row r="95" spans="1:6">
      <c r="A95" s="6">
        <v>82</v>
      </c>
      <c r="B95" s="2" t="s">
        <v>298</v>
      </c>
      <c r="C95" s="2" t="s">
        <v>598</v>
      </c>
      <c r="D95" s="2" t="s">
        <v>299</v>
      </c>
      <c r="F95" s="6" t="str">
        <f t="shared" si="1"/>
        <v/>
      </c>
    </row>
    <row r="96" spans="1:6">
      <c r="A96" s="6">
        <v>83</v>
      </c>
      <c r="B96" s="2" t="s">
        <v>300</v>
      </c>
      <c r="C96" s="2" t="s">
        <v>583</v>
      </c>
      <c r="D96" s="2" t="s">
        <v>301</v>
      </c>
      <c r="E96" s="2" t="s">
        <v>62</v>
      </c>
      <c r="F96" s="6">
        <f t="shared" si="1"/>
        <v>3</v>
      </c>
    </row>
    <row r="97" spans="1:6">
      <c r="A97" s="6">
        <v>84</v>
      </c>
      <c r="B97" s="2" t="s">
        <v>302</v>
      </c>
      <c r="C97" s="2" t="s">
        <v>598</v>
      </c>
      <c r="D97" s="2" t="s">
        <v>303</v>
      </c>
      <c r="F97" s="6" t="str">
        <f t="shared" si="1"/>
        <v/>
      </c>
    </row>
    <row r="98" spans="1:6">
      <c r="A98" s="6">
        <v>85</v>
      </c>
      <c r="B98" s="2" t="s">
        <v>304</v>
      </c>
      <c r="C98" s="2" t="s">
        <v>598</v>
      </c>
      <c r="D98" s="2" t="s">
        <v>305</v>
      </c>
      <c r="F98" s="6" t="str">
        <f t="shared" si="1"/>
        <v/>
      </c>
    </row>
    <row r="99" spans="1:6">
      <c r="A99" s="6">
        <v>86</v>
      </c>
      <c r="B99" s="2" t="s">
        <v>87</v>
      </c>
      <c r="C99" s="2" t="s">
        <v>596</v>
      </c>
      <c r="D99" s="2" t="s">
        <v>86</v>
      </c>
      <c r="E99" s="2" t="s">
        <v>72</v>
      </c>
      <c r="F99" s="6">
        <f t="shared" si="1"/>
        <v>5</v>
      </c>
    </row>
    <row r="100" spans="1:6">
      <c r="A100" s="6">
        <v>87</v>
      </c>
      <c r="B100" s="2" t="s">
        <v>146</v>
      </c>
      <c r="C100" s="2" t="s">
        <v>597</v>
      </c>
      <c r="D100" s="2" t="s">
        <v>306</v>
      </c>
      <c r="E100" s="2" t="s">
        <v>143</v>
      </c>
      <c r="F100" s="6">
        <f t="shared" si="1"/>
        <v>10</v>
      </c>
    </row>
    <row r="101" spans="1:6">
      <c r="A101" s="6">
        <v>88</v>
      </c>
      <c r="B101" s="2" t="s">
        <v>307</v>
      </c>
      <c r="C101" s="2" t="s">
        <v>598</v>
      </c>
      <c r="D101" s="2" t="s">
        <v>308</v>
      </c>
      <c r="F101" s="6" t="str">
        <f t="shared" si="1"/>
        <v/>
      </c>
    </row>
    <row r="102" spans="1:6">
      <c r="A102" s="6">
        <v>89</v>
      </c>
      <c r="B102" s="2" t="s">
        <v>309</v>
      </c>
      <c r="C102" s="2" t="s">
        <v>582</v>
      </c>
      <c r="D102" s="2" t="s">
        <v>310</v>
      </c>
      <c r="E102" s="2" t="s">
        <v>0</v>
      </c>
      <c r="F102" s="6">
        <f t="shared" si="1"/>
        <v>1</v>
      </c>
    </row>
    <row r="103" spans="1:6">
      <c r="A103" s="6">
        <v>90</v>
      </c>
      <c r="B103" s="2" t="s">
        <v>311</v>
      </c>
      <c r="C103" s="2" t="s">
        <v>582</v>
      </c>
      <c r="D103" s="2" t="s">
        <v>175</v>
      </c>
      <c r="E103" s="2" t="s">
        <v>0</v>
      </c>
      <c r="F103" s="6">
        <f t="shared" si="1"/>
        <v>1</v>
      </c>
    </row>
    <row r="104" spans="1:6">
      <c r="A104" s="6">
        <v>91</v>
      </c>
      <c r="B104" s="2" t="s">
        <v>116</v>
      </c>
      <c r="C104" s="2" t="s">
        <v>590</v>
      </c>
      <c r="D104" s="2" t="s">
        <v>115</v>
      </c>
      <c r="E104" s="2" t="s">
        <v>178</v>
      </c>
      <c r="F104" s="6">
        <f t="shared" si="1"/>
        <v>16</v>
      </c>
    </row>
    <row r="105" spans="1:6">
      <c r="A105" s="6">
        <v>92</v>
      </c>
      <c r="B105" s="2" t="s">
        <v>118</v>
      </c>
      <c r="C105" s="2" t="s">
        <v>590</v>
      </c>
      <c r="D105" s="2" t="s">
        <v>117</v>
      </c>
      <c r="E105" s="2" t="s">
        <v>178</v>
      </c>
      <c r="F105" s="6">
        <f t="shared" si="1"/>
        <v>16</v>
      </c>
    </row>
    <row r="106" spans="1:6">
      <c r="A106" s="6">
        <v>93</v>
      </c>
      <c r="B106" s="2" t="s">
        <v>312</v>
      </c>
      <c r="C106" s="2" t="s">
        <v>582</v>
      </c>
      <c r="D106" s="2" t="s">
        <v>114</v>
      </c>
      <c r="E106" s="2" t="s">
        <v>0</v>
      </c>
      <c r="F106" s="6">
        <f t="shared" si="1"/>
        <v>1</v>
      </c>
    </row>
    <row r="107" spans="1:6">
      <c r="A107" s="6">
        <v>94</v>
      </c>
      <c r="B107" s="2" t="s">
        <v>313</v>
      </c>
      <c r="C107" s="2" t="s">
        <v>583</v>
      </c>
      <c r="D107" s="2" t="s">
        <v>314</v>
      </c>
      <c r="E107" s="2" t="s">
        <v>62</v>
      </c>
      <c r="F107" s="6">
        <f t="shared" si="1"/>
        <v>3</v>
      </c>
    </row>
    <row r="108" spans="1:6">
      <c r="A108" s="6">
        <v>95</v>
      </c>
      <c r="B108" s="2" t="s">
        <v>315</v>
      </c>
      <c r="C108" s="2" t="s">
        <v>596</v>
      </c>
      <c r="D108" s="2" t="s">
        <v>83</v>
      </c>
      <c r="E108" s="2" t="s">
        <v>72</v>
      </c>
      <c r="F108" s="6">
        <f t="shared" si="1"/>
        <v>5</v>
      </c>
    </row>
    <row r="109" spans="1:6">
      <c r="A109" s="6">
        <v>96</v>
      </c>
      <c r="B109" s="2" t="s">
        <v>152</v>
      </c>
      <c r="C109" s="2" t="s">
        <v>585</v>
      </c>
      <c r="D109" s="2" t="s">
        <v>151</v>
      </c>
      <c r="E109" s="2" t="s">
        <v>150</v>
      </c>
      <c r="F109" s="6">
        <f t="shared" si="1"/>
        <v>11</v>
      </c>
    </row>
    <row r="110" spans="1:6">
      <c r="A110" s="6">
        <v>97</v>
      </c>
      <c r="B110" s="2" t="s">
        <v>316</v>
      </c>
      <c r="C110" s="2" t="s">
        <v>177</v>
      </c>
      <c r="D110" s="2" t="s">
        <v>317</v>
      </c>
      <c r="E110" s="2" t="s">
        <v>177</v>
      </c>
      <c r="F110" s="6">
        <f t="shared" si="1"/>
        <v>15</v>
      </c>
    </row>
    <row r="111" spans="1:6">
      <c r="A111" s="6">
        <v>98</v>
      </c>
      <c r="B111" s="2" t="s">
        <v>318</v>
      </c>
      <c r="C111" s="2" t="s">
        <v>598</v>
      </c>
      <c r="D111" s="2" t="s">
        <v>319</v>
      </c>
      <c r="F111" s="6" t="str">
        <f t="shared" si="1"/>
        <v/>
      </c>
    </row>
    <row r="112" spans="1:6">
      <c r="A112" s="6">
        <v>99</v>
      </c>
      <c r="B112" s="2" t="s">
        <v>29</v>
      </c>
      <c r="C112" s="2" t="s">
        <v>24</v>
      </c>
      <c r="D112" s="2" t="s">
        <v>28</v>
      </c>
      <c r="E112" s="2" t="s">
        <v>174</v>
      </c>
      <c r="F112" s="6">
        <f t="shared" si="1"/>
        <v>12</v>
      </c>
    </row>
    <row r="113" spans="1:6">
      <c r="A113" s="6">
        <v>100</v>
      </c>
      <c r="B113" s="2" t="s">
        <v>94</v>
      </c>
      <c r="C113" s="2" t="s">
        <v>582</v>
      </c>
      <c r="D113" s="2" t="s">
        <v>93</v>
      </c>
      <c r="E113" s="2" t="s">
        <v>0</v>
      </c>
      <c r="F113" s="6">
        <f t="shared" si="1"/>
        <v>1</v>
      </c>
    </row>
    <row r="114" spans="1:6">
      <c r="A114" s="6">
        <v>101</v>
      </c>
      <c r="B114" s="2" t="s">
        <v>57</v>
      </c>
      <c r="C114" s="2" t="s">
        <v>177</v>
      </c>
      <c r="D114" s="2" t="s">
        <v>56</v>
      </c>
      <c r="E114" s="2" t="s">
        <v>177</v>
      </c>
      <c r="F114" s="6">
        <f t="shared" si="1"/>
        <v>15</v>
      </c>
    </row>
    <row r="115" spans="1:6">
      <c r="A115" s="6">
        <v>102</v>
      </c>
      <c r="B115" s="2" t="s">
        <v>109</v>
      </c>
      <c r="C115" s="2" t="s">
        <v>591</v>
      </c>
      <c r="D115" s="2" t="s">
        <v>108</v>
      </c>
      <c r="E115" s="2" t="s">
        <v>179</v>
      </c>
      <c r="F115" s="6">
        <f t="shared" si="1"/>
        <v>17</v>
      </c>
    </row>
    <row r="116" spans="1:6">
      <c r="A116" s="6">
        <v>103</v>
      </c>
      <c r="B116" s="2" t="s">
        <v>320</v>
      </c>
      <c r="C116" s="2" t="s">
        <v>582</v>
      </c>
      <c r="D116" s="2" t="s">
        <v>321</v>
      </c>
      <c r="E116" s="2" t="s">
        <v>0</v>
      </c>
      <c r="F116" s="6">
        <f t="shared" si="1"/>
        <v>1</v>
      </c>
    </row>
    <row r="117" spans="1:6">
      <c r="A117" s="6">
        <v>104</v>
      </c>
      <c r="B117" s="2" t="s">
        <v>322</v>
      </c>
      <c r="C117" s="2" t="s">
        <v>582</v>
      </c>
      <c r="D117" s="2" t="s">
        <v>323</v>
      </c>
      <c r="E117" s="2" t="s">
        <v>0</v>
      </c>
      <c r="F117" s="6">
        <f t="shared" si="1"/>
        <v>1</v>
      </c>
    </row>
    <row r="118" spans="1:6">
      <c r="A118" s="6">
        <v>105</v>
      </c>
      <c r="B118" s="2" t="s">
        <v>149</v>
      </c>
      <c r="C118" s="2" t="s">
        <v>585</v>
      </c>
      <c r="D118" s="2" t="s">
        <v>148</v>
      </c>
      <c r="E118" s="2" t="s">
        <v>150</v>
      </c>
      <c r="F118" s="6">
        <f t="shared" si="1"/>
        <v>11</v>
      </c>
    </row>
    <row r="119" spans="1:6">
      <c r="A119" s="6">
        <v>106</v>
      </c>
      <c r="B119" s="2" t="s">
        <v>90</v>
      </c>
      <c r="C119" s="2" t="s">
        <v>598</v>
      </c>
      <c r="D119" s="2" t="s">
        <v>89</v>
      </c>
      <c r="F119" s="6" t="str">
        <f t="shared" si="1"/>
        <v/>
      </c>
    </row>
    <row r="120" spans="1:6">
      <c r="A120" s="6">
        <v>107</v>
      </c>
      <c r="B120" s="2" t="s">
        <v>324</v>
      </c>
      <c r="C120" s="2" t="s">
        <v>598</v>
      </c>
      <c r="D120" s="2" t="s">
        <v>325</v>
      </c>
      <c r="F120" s="6" t="str">
        <f t="shared" si="1"/>
        <v/>
      </c>
    </row>
    <row r="121" spans="1:6">
      <c r="A121" s="6">
        <v>108</v>
      </c>
      <c r="B121" s="2" t="s">
        <v>155</v>
      </c>
      <c r="C121" s="2" t="s">
        <v>585</v>
      </c>
      <c r="D121" s="2" t="s">
        <v>155</v>
      </c>
      <c r="E121" s="2" t="s">
        <v>150</v>
      </c>
      <c r="F121" s="6">
        <f t="shared" si="1"/>
        <v>11</v>
      </c>
    </row>
    <row r="122" spans="1:6">
      <c r="A122" s="6">
        <v>109</v>
      </c>
      <c r="B122" s="2" t="s">
        <v>326</v>
      </c>
      <c r="C122" s="2" t="s">
        <v>598</v>
      </c>
      <c r="D122" s="2" t="s">
        <v>327</v>
      </c>
      <c r="F122" s="6" t="str">
        <f t="shared" si="1"/>
        <v/>
      </c>
    </row>
    <row r="123" spans="1:6">
      <c r="A123" s="6">
        <v>110</v>
      </c>
      <c r="B123" s="2" t="s">
        <v>328</v>
      </c>
      <c r="C123" s="2" t="s">
        <v>598</v>
      </c>
      <c r="D123" s="2" t="s">
        <v>329</v>
      </c>
      <c r="F123" s="6" t="str">
        <f t="shared" si="1"/>
        <v/>
      </c>
    </row>
    <row r="124" spans="1:6">
      <c r="A124" s="6">
        <v>111</v>
      </c>
      <c r="B124" s="2" t="s">
        <v>330</v>
      </c>
      <c r="C124" s="2" t="s">
        <v>598</v>
      </c>
      <c r="D124" s="2" t="s">
        <v>331</v>
      </c>
      <c r="F124" s="6" t="str">
        <f t="shared" si="1"/>
        <v/>
      </c>
    </row>
    <row r="125" spans="1:6">
      <c r="A125" s="6">
        <v>112</v>
      </c>
      <c r="B125" s="2" t="s">
        <v>332</v>
      </c>
      <c r="C125" s="2" t="s">
        <v>598</v>
      </c>
      <c r="D125" s="2" t="s">
        <v>333</v>
      </c>
      <c r="F125" s="6" t="str">
        <f t="shared" si="1"/>
        <v/>
      </c>
    </row>
    <row r="126" spans="1:6">
      <c r="A126" s="6">
        <v>113</v>
      </c>
      <c r="B126" s="2" t="s">
        <v>157</v>
      </c>
      <c r="C126" s="2" t="s">
        <v>598</v>
      </c>
      <c r="D126" s="2" t="s">
        <v>156</v>
      </c>
      <c r="F126" s="6" t="str">
        <f t="shared" si="1"/>
        <v/>
      </c>
    </row>
    <row r="127" spans="1:6">
      <c r="A127" s="6">
        <v>114</v>
      </c>
      <c r="B127" s="2" t="s">
        <v>140</v>
      </c>
      <c r="C127" s="2" t="s">
        <v>582</v>
      </c>
      <c r="D127" s="2" t="s">
        <v>139</v>
      </c>
      <c r="E127" s="2" t="s">
        <v>0</v>
      </c>
      <c r="F127" s="6">
        <f t="shared" si="1"/>
        <v>1</v>
      </c>
    </row>
    <row r="128" spans="1:6">
      <c r="A128" s="6">
        <v>115</v>
      </c>
      <c r="B128" s="2" t="s">
        <v>142</v>
      </c>
      <c r="C128" s="2" t="s">
        <v>597</v>
      </c>
      <c r="D128" s="2" t="s">
        <v>141</v>
      </c>
      <c r="E128" s="2" t="s">
        <v>143</v>
      </c>
      <c r="F128" s="6">
        <f t="shared" si="1"/>
        <v>10</v>
      </c>
    </row>
    <row r="129" spans="1:6">
      <c r="A129" s="6">
        <v>116</v>
      </c>
      <c r="B129" s="2" t="s">
        <v>334</v>
      </c>
      <c r="C129" s="2" t="s">
        <v>589</v>
      </c>
      <c r="D129" s="2" t="s">
        <v>335</v>
      </c>
      <c r="E129" s="2" t="s">
        <v>175</v>
      </c>
      <c r="F129" s="6">
        <f t="shared" si="1"/>
        <v>14</v>
      </c>
    </row>
    <row r="130" spans="1:6">
      <c r="A130" s="6">
        <v>117</v>
      </c>
      <c r="B130" s="2" t="s">
        <v>16</v>
      </c>
      <c r="C130" s="2" t="s">
        <v>584</v>
      </c>
      <c r="D130" s="2" t="s">
        <v>15</v>
      </c>
      <c r="E130" s="2" t="s">
        <v>14</v>
      </c>
      <c r="F130" s="6">
        <f t="shared" si="1"/>
        <v>2</v>
      </c>
    </row>
    <row r="131" spans="1:6">
      <c r="A131" s="6">
        <v>118</v>
      </c>
      <c r="B131" s="2" t="s">
        <v>336</v>
      </c>
      <c r="C131" s="2" t="s">
        <v>584</v>
      </c>
      <c r="D131" s="2" t="s">
        <v>337</v>
      </c>
      <c r="E131" s="2" t="s">
        <v>14</v>
      </c>
      <c r="F131" s="6">
        <f t="shared" si="1"/>
        <v>2</v>
      </c>
    </row>
    <row r="132" spans="1:6">
      <c r="A132" s="6">
        <v>119</v>
      </c>
      <c r="B132" s="2" t="s">
        <v>338</v>
      </c>
      <c r="C132" s="2" t="s">
        <v>134</v>
      </c>
      <c r="D132" s="2" t="s">
        <v>339</v>
      </c>
      <c r="E132" s="2" t="s">
        <v>134</v>
      </c>
      <c r="F132" s="6">
        <f t="shared" si="1"/>
        <v>9</v>
      </c>
    </row>
    <row r="133" spans="1:6">
      <c r="A133" s="6">
        <v>120</v>
      </c>
      <c r="B133" s="2" t="s">
        <v>340</v>
      </c>
      <c r="C133" s="2" t="s">
        <v>597</v>
      </c>
      <c r="D133" s="2" t="s">
        <v>341</v>
      </c>
      <c r="E133" s="2" t="s">
        <v>143</v>
      </c>
      <c r="F133" s="6">
        <f t="shared" si="1"/>
        <v>10</v>
      </c>
    </row>
    <row r="134" spans="1:6">
      <c r="A134" s="6">
        <v>121</v>
      </c>
      <c r="B134" s="2" t="s">
        <v>342</v>
      </c>
      <c r="C134" s="2" t="s">
        <v>589</v>
      </c>
      <c r="D134" s="2" t="s">
        <v>343</v>
      </c>
      <c r="E134" s="2" t="s">
        <v>175</v>
      </c>
      <c r="F134" s="6">
        <f t="shared" si="1"/>
        <v>14</v>
      </c>
    </row>
    <row r="135" spans="1:6">
      <c r="A135" s="6">
        <v>122</v>
      </c>
      <c r="B135" s="2" t="s">
        <v>344</v>
      </c>
      <c r="C135" s="2" t="s">
        <v>598</v>
      </c>
      <c r="D135" s="2" t="s">
        <v>345</v>
      </c>
      <c r="F135" s="6" t="str">
        <f t="shared" si="1"/>
        <v/>
      </c>
    </row>
    <row r="136" spans="1:6">
      <c r="A136" s="6">
        <v>123</v>
      </c>
      <c r="B136" s="2" t="s">
        <v>346</v>
      </c>
      <c r="C136" s="2" t="s">
        <v>582</v>
      </c>
      <c r="D136" s="2" t="s">
        <v>347</v>
      </c>
      <c r="E136" s="2" t="s">
        <v>0</v>
      </c>
      <c r="F136" s="6">
        <f t="shared" si="1"/>
        <v>1</v>
      </c>
    </row>
    <row r="137" spans="1:6">
      <c r="A137" s="6">
        <v>124</v>
      </c>
      <c r="B137" s="2" t="s">
        <v>348</v>
      </c>
      <c r="C137" s="2" t="s">
        <v>598</v>
      </c>
      <c r="D137" s="2" t="s">
        <v>349</v>
      </c>
      <c r="F137" s="6" t="str">
        <f t="shared" si="1"/>
        <v/>
      </c>
    </row>
    <row r="138" spans="1:6">
      <c r="A138" s="6">
        <v>125</v>
      </c>
      <c r="B138" s="2" t="s">
        <v>350</v>
      </c>
      <c r="C138" s="2" t="s">
        <v>598</v>
      </c>
      <c r="D138" s="2" t="s">
        <v>351</v>
      </c>
      <c r="F138" s="6" t="str">
        <f t="shared" si="1"/>
        <v/>
      </c>
    </row>
    <row r="139" spans="1:6">
      <c r="A139" s="6">
        <v>126</v>
      </c>
      <c r="B139" s="2" t="s">
        <v>352</v>
      </c>
      <c r="C139" s="2" t="s">
        <v>582</v>
      </c>
      <c r="D139" s="2" t="s">
        <v>353</v>
      </c>
      <c r="E139" s="2" t="s">
        <v>0</v>
      </c>
      <c r="F139" s="6">
        <f t="shared" si="1"/>
        <v>1</v>
      </c>
    </row>
    <row r="140" spans="1:6">
      <c r="A140" s="6">
        <v>127</v>
      </c>
      <c r="B140" s="2" t="s">
        <v>354</v>
      </c>
      <c r="C140" s="2" t="s">
        <v>598</v>
      </c>
      <c r="D140" s="2" t="s">
        <v>355</v>
      </c>
      <c r="F140" s="6" t="str">
        <f t="shared" si="1"/>
        <v/>
      </c>
    </row>
    <row r="141" spans="1:6">
      <c r="A141" s="6">
        <v>128</v>
      </c>
      <c r="B141" s="2" t="s">
        <v>356</v>
      </c>
      <c r="C141" s="2" t="s">
        <v>598</v>
      </c>
      <c r="D141" s="2" t="s">
        <v>357</v>
      </c>
      <c r="F141" s="6" t="str">
        <f t="shared" si="1"/>
        <v/>
      </c>
    </row>
    <row r="142" spans="1:6">
      <c r="A142" s="6">
        <v>129</v>
      </c>
      <c r="B142" s="2" t="s">
        <v>358</v>
      </c>
      <c r="C142" s="2" t="s">
        <v>598</v>
      </c>
      <c r="D142" s="2" t="s">
        <v>359</v>
      </c>
      <c r="F142" s="6" t="str">
        <f t="shared" si="1"/>
        <v/>
      </c>
    </row>
    <row r="143" spans="1:6">
      <c r="A143" s="6">
        <v>130</v>
      </c>
      <c r="B143" s="2" t="s">
        <v>360</v>
      </c>
      <c r="C143" s="2" t="s">
        <v>598</v>
      </c>
      <c r="D143" s="2" t="s">
        <v>361</v>
      </c>
      <c r="F143" s="6" t="str">
        <f t="shared" ref="F143:F206" si="2">IFERROR(VLOOKUP(E143,$AB:$AC,2,0),"")</f>
        <v/>
      </c>
    </row>
    <row r="144" spans="1:6">
      <c r="A144" s="6">
        <v>131</v>
      </c>
      <c r="B144" s="2" t="s">
        <v>362</v>
      </c>
      <c r="C144" s="2" t="s">
        <v>598</v>
      </c>
      <c r="D144" s="2" t="s">
        <v>363</v>
      </c>
      <c r="F144" s="6" t="str">
        <f t="shared" si="2"/>
        <v/>
      </c>
    </row>
    <row r="145" spans="1:6">
      <c r="A145" s="6">
        <v>132</v>
      </c>
      <c r="B145" s="2" t="s">
        <v>127</v>
      </c>
      <c r="C145" s="2" t="s">
        <v>131</v>
      </c>
      <c r="D145" s="2" t="s">
        <v>126</v>
      </c>
      <c r="E145" s="2" t="s">
        <v>120</v>
      </c>
      <c r="F145" s="6">
        <f t="shared" si="2"/>
        <v>8</v>
      </c>
    </row>
    <row r="146" spans="1:6">
      <c r="A146" s="6">
        <v>133</v>
      </c>
      <c r="B146" s="2" t="s">
        <v>364</v>
      </c>
      <c r="C146" s="2" t="s">
        <v>584</v>
      </c>
      <c r="D146" s="2" t="s">
        <v>365</v>
      </c>
      <c r="E146" s="2" t="s">
        <v>14</v>
      </c>
      <c r="F146" s="6">
        <f t="shared" si="2"/>
        <v>2</v>
      </c>
    </row>
    <row r="147" spans="1:6">
      <c r="A147" s="6">
        <v>134</v>
      </c>
      <c r="B147" s="2" t="s">
        <v>366</v>
      </c>
      <c r="C147" s="2" t="s">
        <v>598</v>
      </c>
      <c r="D147" s="2" t="s">
        <v>367</v>
      </c>
      <c r="F147" s="6" t="str">
        <f t="shared" si="2"/>
        <v/>
      </c>
    </row>
    <row r="148" spans="1:6">
      <c r="A148" s="6">
        <v>135</v>
      </c>
      <c r="B148" s="2" t="s">
        <v>368</v>
      </c>
      <c r="C148" s="2" t="s">
        <v>598</v>
      </c>
      <c r="D148" s="2" t="s">
        <v>369</v>
      </c>
      <c r="F148" s="6" t="str">
        <f t="shared" si="2"/>
        <v/>
      </c>
    </row>
    <row r="149" spans="1:6">
      <c r="A149" s="6">
        <v>136</v>
      </c>
      <c r="B149" s="2" t="s">
        <v>370</v>
      </c>
      <c r="C149" s="2" t="s">
        <v>598</v>
      </c>
      <c r="D149" s="2" t="s">
        <v>371</v>
      </c>
      <c r="F149" s="6" t="str">
        <f t="shared" si="2"/>
        <v/>
      </c>
    </row>
    <row r="150" spans="1:6">
      <c r="A150" s="6">
        <v>137</v>
      </c>
      <c r="B150" s="2" t="s">
        <v>2</v>
      </c>
      <c r="C150" s="2" t="s">
        <v>582</v>
      </c>
      <c r="D150" s="2" t="s">
        <v>372</v>
      </c>
      <c r="E150" s="2" t="s">
        <v>0</v>
      </c>
      <c r="F150" s="6">
        <f t="shared" si="2"/>
        <v>1</v>
      </c>
    </row>
    <row r="151" spans="1:6">
      <c r="A151" s="6">
        <v>138</v>
      </c>
      <c r="B151" s="2" t="s">
        <v>373</v>
      </c>
      <c r="C151" s="2" t="s">
        <v>598</v>
      </c>
      <c r="D151" s="2" t="s">
        <v>374</v>
      </c>
      <c r="F151" s="6" t="str">
        <f t="shared" si="2"/>
        <v/>
      </c>
    </row>
    <row r="152" spans="1:6">
      <c r="A152" s="6">
        <v>139</v>
      </c>
      <c r="B152" s="2" t="s">
        <v>375</v>
      </c>
      <c r="C152" s="2" t="s">
        <v>596</v>
      </c>
      <c r="D152" s="2" t="s">
        <v>376</v>
      </c>
      <c r="E152" s="2" t="s">
        <v>72</v>
      </c>
      <c r="F152" s="6">
        <f t="shared" si="2"/>
        <v>5</v>
      </c>
    </row>
    <row r="153" spans="1:6">
      <c r="A153" s="6">
        <v>140</v>
      </c>
      <c r="B153" s="2" t="s">
        <v>377</v>
      </c>
      <c r="C153" s="2" t="s">
        <v>598</v>
      </c>
      <c r="D153" s="2" t="s">
        <v>378</v>
      </c>
      <c r="F153" s="6" t="str">
        <f t="shared" si="2"/>
        <v/>
      </c>
    </row>
    <row r="154" spans="1:6">
      <c r="A154" s="6">
        <v>141</v>
      </c>
      <c r="B154" s="2" t="s">
        <v>379</v>
      </c>
      <c r="C154" s="2" t="s">
        <v>582</v>
      </c>
      <c r="D154" s="2" t="s">
        <v>379</v>
      </c>
      <c r="E154" s="2" t="s">
        <v>0</v>
      </c>
      <c r="F154" s="6">
        <f t="shared" si="2"/>
        <v>1</v>
      </c>
    </row>
    <row r="155" spans="1:6">
      <c r="A155" s="6">
        <v>142</v>
      </c>
      <c r="B155" s="2" t="s">
        <v>380</v>
      </c>
      <c r="C155" s="2" t="s">
        <v>582</v>
      </c>
      <c r="D155" s="2" t="s">
        <v>381</v>
      </c>
      <c r="E155" s="2" t="s">
        <v>0</v>
      </c>
      <c r="F155" s="6">
        <f t="shared" si="2"/>
        <v>1</v>
      </c>
    </row>
    <row r="156" spans="1:6">
      <c r="A156" s="6">
        <v>143</v>
      </c>
      <c r="B156" s="2" t="s">
        <v>382</v>
      </c>
      <c r="C156" s="2" t="s">
        <v>582</v>
      </c>
      <c r="D156" s="2" t="s">
        <v>383</v>
      </c>
      <c r="E156" s="2" t="s">
        <v>0</v>
      </c>
      <c r="F156" s="6">
        <f t="shared" si="2"/>
        <v>1</v>
      </c>
    </row>
    <row r="157" spans="1:6">
      <c r="A157" s="6">
        <v>144</v>
      </c>
      <c r="B157" s="2" t="s">
        <v>384</v>
      </c>
      <c r="C157" s="2" t="s">
        <v>582</v>
      </c>
      <c r="D157" s="2" t="s">
        <v>384</v>
      </c>
      <c r="E157" s="2" t="s">
        <v>0</v>
      </c>
      <c r="F157" s="6">
        <f t="shared" si="2"/>
        <v>1</v>
      </c>
    </row>
    <row r="158" spans="1:6">
      <c r="A158" s="6">
        <v>145</v>
      </c>
      <c r="B158" s="2" t="s">
        <v>18</v>
      </c>
      <c r="C158" s="2" t="s">
        <v>584</v>
      </c>
      <c r="D158" s="2" t="s">
        <v>17</v>
      </c>
      <c r="E158" s="2" t="s">
        <v>14</v>
      </c>
      <c r="F158" s="6">
        <f t="shared" si="2"/>
        <v>2</v>
      </c>
    </row>
    <row r="159" spans="1:6">
      <c r="A159" s="6">
        <v>146</v>
      </c>
      <c r="B159" s="2" t="s">
        <v>145</v>
      </c>
      <c r="C159" s="2" t="s">
        <v>597</v>
      </c>
      <c r="D159" s="2" t="s">
        <v>144</v>
      </c>
      <c r="E159" s="2" t="s">
        <v>143</v>
      </c>
      <c r="F159" s="6">
        <f t="shared" si="2"/>
        <v>10</v>
      </c>
    </row>
    <row r="160" spans="1:6">
      <c r="A160" s="6">
        <v>147</v>
      </c>
      <c r="B160" s="2" t="s">
        <v>385</v>
      </c>
      <c r="C160" s="2" t="s">
        <v>598</v>
      </c>
      <c r="D160" s="2" t="s">
        <v>386</v>
      </c>
      <c r="F160" s="6" t="str">
        <f t="shared" si="2"/>
        <v/>
      </c>
    </row>
    <row r="161" spans="1:6">
      <c r="A161" s="6">
        <v>148</v>
      </c>
      <c r="B161" s="2" t="s">
        <v>35</v>
      </c>
      <c r="C161" s="2" t="s">
        <v>24</v>
      </c>
      <c r="D161" s="2" t="s">
        <v>34</v>
      </c>
      <c r="E161" s="2" t="s">
        <v>174</v>
      </c>
      <c r="F161" s="6">
        <f t="shared" si="2"/>
        <v>12</v>
      </c>
    </row>
    <row r="162" spans="1:6">
      <c r="A162" s="6">
        <v>149</v>
      </c>
      <c r="B162" s="2" t="s">
        <v>387</v>
      </c>
      <c r="C162" s="2" t="s">
        <v>598</v>
      </c>
      <c r="D162" s="2" t="s">
        <v>388</v>
      </c>
      <c r="F162" s="6" t="str">
        <f t="shared" si="2"/>
        <v/>
      </c>
    </row>
    <row r="163" spans="1:6">
      <c r="A163" s="6">
        <v>150</v>
      </c>
      <c r="B163" s="2" t="s">
        <v>389</v>
      </c>
      <c r="C163" s="2" t="s">
        <v>598</v>
      </c>
      <c r="D163" s="2" t="s">
        <v>390</v>
      </c>
      <c r="F163" s="6" t="str">
        <f t="shared" si="2"/>
        <v/>
      </c>
    </row>
    <row r="164" spans="1:6">
      <c r="A164" s="6">
        <v>151</v>
      </c>
      <c r="B164" s="2" t="s">
        <v>391</v>
      </c>
      <c r="C164" s="2" t="s">
        <v>598</v>
      </c>
      <c r="D164" s="2" t="s">
        <v>392</v>
      </c>
      <c r="F164" s="6" t="str">
        <f t="shared" si="2"/>
        <v/>
      </c>
    </row>
    <row r="165" spans="1:6">
      <c r="A165" s="6">
        <v>152</v>
      </c>
      <c r="B165" s="2" t="s">
        <v>26</v>
      </c>
      <c r="C165" s="2" t="s">
        <v>24</v>
      </c>
      <c r="D165" s="2" t="s">
        <v>25</v>
      </c>
      <c r="E165" s="2" t="s">
        <v>174</v>
      </c>
      <c r="F165" s="6">
        <f t="shared" si="2"/>
        <v>12</v>
      </c>
    </row>
    <row r="166" spans="1:6">
      <c r="A166" s="6">
        <v>153</v>
      </c>
      <c r="B166" s="2" t="s">
        <v>393</v>
      </c>
      <c r="C166" s="2" t="s">
        <v>596</v>
      </c>
      <c r="D166" s="2" t="s">
        <v>394</v>
      </c>
      <c r="E166" s="2" t="s">
        <v>72</v>
      </c>
      <c r="F166" s="6">
        <f t="shared" si="2"/>
        <v>5</v>
      </c>
    </row>
    <row r="167" spans="1:6">
      <c r="A167" s="6">
        <v>154</v>
      </c>
      <c r="B167" s="2" t="s">
        <v>395</v>
      </c>
      <c r="C167" s="2" t="s">
        <v>598</v>
      </c>
      <c r="D167" s="2" t="s">
        <v>396</v>
      </c>
      <c r="F167" s="6" t="str">
        <f t="shared" si="2"/>
        <v/>
      </c>
    </row>
    <row r="168" spans="1:6">
      <c r="A168" s="6">
        <v>155</v>
      </c>
      <c r="B168" s="2" t="s">
        <v>397</v>
      </c>
      <c r="C168" s="2" t="s">
        <v>598</v>
      </c>
      <c r="D168" s="2" t="s">
        <v>398</v>
      </c>
      <c r="F168" s="6" t="str">
        <f t="shared" si="2"/>
        <v/>
      </c>
    </row>
    <row r="169" spans="1:6">
      <c r="A169" s="6">
        <v>156</v>
      </c>
      <c r="B169" s="2" t="s">
        <v>399</v>
      </c>
      <c r="C169" s="2" t="s">
        <v>598</v>
      </c>
      <c r="D169" s="2" t="s">
        <v>400</v>
      </c>
      <c r="F169" s="6" t="str">
        <f t="shared" si="2"/>
        <v/>
      </c>
    </row>
    <row r="170" spans="1:6">
      <c r="A170" s="6">
        <v>157</v>
      </c>
      <c r="B170" s="2" t="s">
        <v>401</v>
      </c>
      <c r="C170" s="2" t="s">
        <v>598</v>
      </c>
      <c r="D170" s="2" t="s">
        <v>402</v>
      </c>
      <c r="F170" s="6" t="str">
        <f t="shared" si="2"/>
        <v/>
      </c>
    </row>
    <row r="171" spans="1:6">
      <c r="A171" s="6">
        <v>158</v>
      </c>
      <c r="B171" s="2" t="s">
        <v>403</v>
      </c>
      <c r="C171" s="2" t="s">
        <v>598</v>
      </c>
      <c r="D171" s="2" t="s">
        <v>404</v>
      </c>
      <c r="F171" s="6" t="str">
        <f t="shared" si="2"/>
        <v/>
      </c>
    </row>
    <row r="172" spans="1:6">
      <c r="A172" s="6">
        <v>159</v>
      </c>
      <c r="B172" s="2" t="s">
        <v>405</v>
      </c>
      <c r="C172" s="2" t="s">
        <v>598</v>
      </c>
      <c r="D172" s="2" t="s">
        <v>406</v>
      </c>
      <c r="F172" s="6" t="str">
        <f t="shared" si="2"/>
        <v/>
      </c>
    </row>
    <row r="173" spans="1:6">
      <c r="A173" s="6">
        <v>160</v>
      </c>
      <c r="B173" s="2" t="s">
        <v>407</v>
      </c>
      <c r="C173" s="2" t="s">
        <v>598</v>
      </c>
      <c r="D173" s="2" t="s">
        <v>408</v>
      </c>
      <c r="F173" s="6" t="str">
        <f t="shared" si="2"/>
        <v/>
      </c>
    </row>
    <row r="174" spans="1:6">
      <c r="A174" s="6">
        <v>161</v>
      </c>
      <c r="B174" s="2" t="s">
        <v>409</v>
      </c>
      <c r="C174" s="2" t="s">
        <v>598</v>
      </c>
      <c r="D174" s="2" t="s">
        <v>410</v>
      </c>
      <c r="F174" s="6" t="str">
        <f t="shared" si="2"/>
        <v/>
      </c>
    </row>
    <row r="175" spans="1:6">
      <c r="A175" s="6">
        <v>162</v>
      </c>
      <c r="B175" s="2" t="s">
        <v>411</v>
      </c>
      <c r="C175" s="2" t="s">
        <v>598</v>
      </c>
      <c r="D175" s="2" t="s">
        <v>412</v>
      </c>
      <c r="F175" s="6" t="str">
        <f t="shared" si="2"/>
        <v/>
      </c>
    </row>
    <row r="176" spans="1:6">
      <c r="A176" s="6">
        <v>163</v>
      </c>
      <c r="B176" s="2" t="s">
        <v>413</v>
      </c>
      <c r="C176" s="2" t="s">
        <v>598</v>
      </c>
      <c r="D176" s="2" t="s">
        <v>414</v>
      </c>
      <c r="F176" s="6" t="str">
        <f t="shared" si="2"/>
        <v/>
      </c>
    </row>
    <row r="177" spans="1:6">
      <c r="A177" s="6">
        <v>164</v>
      </c>
      <c r="B177" s="2" t="s">
        <v>415</v>
      </c>
      <c r="C177" s="2" t="s">
        <v>598</v>
      </c>
      <c r="D177" s="2" t="s">
        <v>416</v>
      </c>
      <c r="F177" s="6" t="str">
        <f t="shared" si="2"/>
        <v/>
      </c>
    </row>
    <row r="178" spans="1:6">
      <c r="A178" s="6">
        <v>165</v>
      </c>
      <c r="B178" s="2" t="s">
        <v>417</v>
      </c>
      <c r="C178" s="2" t="s">
        <v>598</v>
      </c>
      <c r="D178" s="2" t="s">
        <v>418</v>
      </c>
      <c r="F178" s="6" t="str">
        <f t="shared" si="2"/>
        <v/>
      </c>
    </row>
    <row r="179" spans="1:6">
      <c r="A179" s="6">
        <v>166</v>
      </c>
      <c r="B179" s="2" t="s">
        <v>419</v>
      </c>
      <c r="C179" s="2" t="s">
        <v>598</v>
      </c>
      <c r="D179" s="2" t="s">
        <v>147</v>
      </c>
      <c r="F179" s="6" t="str">
        <f t="shared" si="2"/>
        <v/>
      </c>
    </row>
    <row r="180" spans="1:6">
      <c r="A180" s="6">
        <v>167</v>
      </c>
      <c r="B180" s="2" t="s">
        <v>420</v>
      </c>
      <c r="C180" s="2" t="s">
        <v>598</v>
      </c>
      <c r="D180" s="2" t="s">
        <v>421</v>
      </c>
      <c r="F180" s="6" t="str">
        <f t="shared" si="2"/>
        <v/>
      </c>
    </row>
    <row r="181" spans="1:6">
      <c r="A181" s="6">
        <v>168</v>
      </c>
      <c r="B181" s="2" t="s">
        <v>422</v>
      </c>
      <c r="C181" s="2" t="s">
        <v>598</v>
      </c>
      <c r="D181" s="2" t="s">
        <v>423</v>
      </c>
      <c r="F181" s="6" t="str">
        <f t="shared" si="2"/>
        <v/>
      </c>
    </row>
    <row r="182" spans="1:6">
      <c r="A182" s="6">
        <v>169</v>
      </c>
      <c r="B182" s="2" t="s">
        <v>424</v>
      </c>
      <c r="C182" s="2" t="s">
        <v>598</v>
      </c>
      <c r="D182" s="2" t="s">
        <v>425</v>
      </c>
      <c r="F182" s="6" t="str">
        <f t="shared" si="2"/>
        <v/>
      </c>
    </row>
    <row r="183" spans="1:6">
      <c r="A183" s="6">
        <v>170</v>
      </c>
      <c r="B183" s="2" t="s">
        <v>55</v>
      </c>
      <c r="C183" s="2" t="s">
        <v>598</v>
      </c>
      <c r="D183" s="2" t="s">
        <v>54</v>
      </c>
      <c r="F183" s="6" t="str">
        <f t="shared" si="2"/>
        <v/>
      </c>
    </row>
    <row r="184" spans="1:6">
      <c r="A184" s="6">
        <v>171</v>
      </c>
      <c r="B184" s="2" t="s">
        <v>129</v>
      </c>
      <c r="C184" s="2" t="s">
        <v>598</v>
      </c>
      <c r="D184" s="2" t="s">
        <v>128</v>
      </c>
      <c r="F184" s="6" t="str">
        <f t="shared" si="2"/>
        <v/>
      </c>
    </row>
    <row r="185" spans="1:6">
      <c r="A185" s="6">
        <v>172</v>
      </c>
      <c r="B185" s="2" t="s">
        <v>24</v>
      </c>
      <c r="C185" s="2" t="s">
        <v>598</v>
      </c>
      <c r="D185" s="2" t="s">
        <v>23</v>
      </c>
      <c r="F185" s="6" t="str">
        <f t="shared" si="2"/>
        <v/>
      </c>
    </row>
    <row r="186" spans="1:6">
      <c r="A186" s="6">
        <v>173</v>
      </c>
      <c r="B186" s="2" t="s">
        <v>426</v>
      </c>
      <c r="C186" s="2" t="s">
        <v>598</v>
      </c>
      <c r="D186" s="2" t="s">
        <v>427</v>
      </c>
      <c r="F186" s="6" t="str">
        <f t="shared" si="2"/>
        <v/>
      </c>
    </row>
    <row r="187" spans="1:6">
      <c r="A187" s="6">
        <v>174</v>
      </c>
      <c r="B187" s="2" t="s">
        <v>6</v>
      </c>
      <c r="C187" s="2" t="s">
        <v>598</v>
      </c>
      <c r="D187" s="2" t="s">
        <v>5</v>
      </c>
      <c r="F187" s="6" t="str">
        <f t="shared" si="2"/>
        <v/>
      </c>
    </row>
    <row r="188" spans="1:6">
      <c r="A188" s="6">
        <v>175</v>
      </c>
      <c r="B188" s="2" t="s">
        <v>428</v>
      </c>
      <c r="C188" s="2" t="s">
        <v>598</v>
      </c>
      <c r="D188" s="2" t="s">
        <v>429</v>
      </c>
      <c r="F188" s="6" t="str">
        <f t="shared" si="2"/>
        <v/>
      </c>
    </row>
    <row r="189" spans="1:6">
      <c r="A189" s="6">
        <v>176</v>
      </c>
      <c r="B189" s="2" t="s">
        <v>430</v>
      </c>
      <c r="C189" s="2" t="s">
        <v>598</v>
      </c>
      <c r="D189" s="2" t="s">
        <v>431</v>
      </c>
      <c r="F189" s="6" t="str">
        <f t="shared" si="2"/>
        <v/>
      </c>
    </row>
    <row r="190" spans="1:6">
      <c r="A190" s="6">
        <v>177</v>
      </c>
      <c r="B190" s="2" t="s">
        <v>432</v>
      </c>
      <c r="C190" s="2" t="s">
        <v>598</v>
      </c>
      <c r="D190" s="2" t="s">
        <v>433</v>
      </c>
      <c r="F190" s="6" t="str">
        <f t="shared" si="2"/>
        <v/>
      </c>
    </row>
    <row r="191" spans="1:6">
      <c r="A191" s="6">
        <v>178</v>
      </c>
      <c r="B191" s="2" t="s">
        <v>434</v>
      </c>
      <c r="C191" s="2" t="s">
        <v>598</v>
      </c>
      <c r="D191" s="2" t="s">
        <v>435</v>
      </c>
      <c r="F191" s="6" t="str">
        <f t="shared" si="2"/>
        <v/>
      </c>
    </row>
    <row r="192" spans="1:6">
      <c r="A192" s="6">
        <v>179</v>
      </c>
      <c r="B192" s="2" t="s">
        <v>436</v>
      </c>
      <c r="C192" s="2" t="s">
        <v>598</v>
      </c>
      <c r="D192" s="2" t="s">
        <v>437</v>
      </c>
      <c r="F192" s="6" t="str">
        <f t="shared" si="2"/>
        <v/>
      </c>
    </row>
    <row r="193" spans="1:6">
      <c r="A193" s="6">
        <v>180</v>
      </c>
      <c r="B193" s="2" t="s">
        <v>438</v>
      </c>
      <c r="C193" s="2" t="s">
        <v>598</v>
      </c>
      <c r="D193" s="2" t="s">
        <v>439</v>
      </c>
      <c r="F193" s="6" t="str">
        <f t="shared" si="2"/>
        <v/>
      </c>
    </row>
    <row r="194" spans="1:6">
      <c r="A194" s="6">
        <v>181</v>
      </c>
      <c r="B194" s="2" t="s">
        <v>440</v>
      </c>
      <c r="C194" s="2" t="s">
        <v>598</v>
      </c>
      <c r="D194" s="2" t="s">
        <v>441</v>
      </c>
      <c r="F194" s="6" t="str">
        <f t="shared" si="2"/>
        <v/>
      </c>
    </row>
    <row r="195" spans="1:6">
      <c r="A195" s="6">
        <v>182</v>
      </c>
      <c r="B195" s="2" t="s">
        <v>69</v>
      </c>
      <c r="C195" s="2" t="s">
        <v>598</v>
      </c>
      <c r="D195" s="2" t="s">
        <v>68</v>
      </c>
      <c r="F195" s="6" t="str">
        <f t="shared" si="2"/>
        <v/>
      </c>
    </row>
    <row r="196" spans="1:6">
      <c r="A196" s="6">
        <v>183</v>
      </c>
      <c r="B196" s="2" t="s">
        <v>442</v>
      </c>
      <c r="C196" s="2" t="s">
        <v>598</v>
      </c>
      <c r="D196" s="2" t="s">
        <v>27</v>
      </c>
      <c r="F196" s="6" t="str">
        <f t="shared" si="2"/>
        <v/>
      </c>
    </row>
    <row r="197" spans="1:6">
      <c r="A197" s="6">
        <v>184</v>
      </c>
      <c r="B197" s="2" t="s">
        <v>103</v>
      </c>
      <c r="C197" s="2" t="s">
        <v>598</v>
      </c>
      <c r="D197" s="2" t="s">
        <v>102</v>
      </c>
      <c r="F197" s="6" t="str">
        <f t="shared" si="2"/>
        <v/>
      </c>
    </row>
    <row r="198" spans="1:6">
      <c r="A198" s="6">
        <v>185</v>
      </c>
      <c r="B198" s="2" t="s">
        <v>51</v>
      </c>
      <c r="C198" s="2" t="s">
        <v>598</v>
      </c>
      <c r="D198" s="2" t="s">
        <v>50</v>
      </c>
      <c r="F198" s="6" t="str">
        <f t="shared" si="2"/>
        <v/>
      </c>
    </row>
    <row r="199" spans="1:6">
      <c r="A199" s="6">
        <v>186</v>
      </c>
      <c r="B199" s="2" t="s">
        <v>53</v>
      </c>
      <c r="C199" s="2" t="s">
        <v>598</v>
      </c>
      <c r="D199" s="2" t="s">
        <v>52</v>
      </c>
      <c r="F199" s="6" t="str">
        <f t="shared" si="2"/>
        <v/>
      </c>
    </row>
    <row r="200" spans="1:6">
      <c r="A200" s="6">
        <v>187</v>
      </c>
      <c r="B200" s="2" t="s">
        <v>107</v>
      </c>
      <c r="C200" s="2" t="s">
        <v>598</v>
      </c>
      <c r="D200" s="2" t="s">
        <v>443</v>
      </c>
      <c r="F200" s="6" t="str">
        <f t="shared" si="2"/>
        <v/>
      </c>
    </row>
    <row r="201" spans="1:6">
      <c r="A201" s="6">
        <v>188</v>
      </c>
      <c r="B201" s="2" t="s">
        <v>106</v>
      </c>
      <c r="C201" s="2" t="s">
        <v>598</v>
      </c>
      <c r="D201" s="2" t="s">
        <v>105</v>
      </c>
      <c r="F201" s="6" t="str">
        <f t="shared" si="2"/>
        <v/>
      </c>
    </row>
    <row r="202" spans="1:6">
      <c r="A202" s="6">
        <v>189</v>
      </c>
      <c r="B202" s="2" t="s">
        <v>63</v>
      </c>
      <c r="C202" s="2" t="s">
        <v>598</v>
      </c>
      <c r="D202" s="2" t="s">
        <v>62</v>
      </c>
      <c r="F202" s="6" t="str">
        <f t="shared" si="2"/>
        <v/>
      </c>
    </row>
    <row r="203" spans="1:6">
      <c r="A203" s="6">
        <v>190</v>
      </c>
      <c r="B203" s="2" t="s">
        <v>65</v>
      </c>
      <c r="C203" s="2" t="s">
        <v>598</v>
      </c>
      <c r="D203" s="2" t="s">
        <v>64</v>
      </c>
      <c r="F203" s="6" t="str">
        <f t="shared" si="2"/>
        <v/>
      </c>
    </row>
    <row r="204" spans="1:6">
      <c r="A204" s="6">
        <v>191</v>
      </c>
      <c r="B204" s="2" t="s">
        <v>61</v>
      </c>
      <c r="C204" s="2" t="s">
        <v>598</v>
      </c>
      <c r="D204" s="2" t="s">
        <v>60</v>
      </c>
      <c r="F204" s="6" t="str">
        <f t="shared" si="2"/>
        <v/>
      </c>
    </row>
    <row r="205" spans="1:6">
      <c r="A205" s="6">
        <v>192</v>
      </c>
      <c r="B205" s="2" t="s">
        <v>444</v>
      </c>
      <c r="C205" s="2" t="s">
        <v>598</v>
      </c>
      <c r="D205" s="2" t="s">
        <v>445</v>
      </c>
      <c r="F205" s="6" t="str">
        <f t="shared" si="2"/>
        <v/>
      </c>
    </row>
    <row r="206" spans="1:6">
      <c r="A206" s="6">
        <v>193</v>
      </c>
      <c r="B206" s="2" t="s">
        <v>49</v>
      </c>
      <c r="C206" s="2" t="s">
        <v>598</v>
      </c>
      <c r="D206" s="2" t="s">
        <v>48</v>
      </c>
      <c r="F206" s="6" t="str">
        <f t="shared" si="2"/>
        <v/>
      </c>
    </row>
    <row r="207" spans="1:6">
      <c r="A207" s="6">
        <v>194</v>
      </c>
      <c r="B207" s="2" t="s">
        <v>446</v>
      </c>
      <c r="C207" s="2" t="s">
        <v>598</v>
      </c>
      <c r="D207" s="2" t="s">
        <v>447</v>
      </c>
      <c r="F207" s="6" t="str">
        <f t="shared" ref="F207:F270" si="3">IFERROR(VLOOKUP(E207,$AB:$AC,2,0),"")</f>
        <v/>
      </c>
    </row>
    <row r="208" spans="1:6">
      <c r="A208" s="6">
        <v>195</v>
      </c>
      <c r="B208" s="2" t="s">
        <v>448</v>
      </c>
      <c r="C208" s="2" t="s">
        <v>598</v>
      </c>
      <c r="D208" s="2" t="s">
        <v>449</v>
      </c>
      <c r="F208" s="6" t="str">
        <f t="shared" si="3"/>
        <v/>
      </c>
    </row>
    <row r="209" spans="1:6">
      <c r="A209" s="6">
        <v>196</v>
      </c>
      <c r="B209" s="2" t="s">
        <v>136</v>
      </c>
      <c r="C209" s="2" t="s">
        <v>598</v>
      </c>
      <c r="D209" s="2" t="s">
        <v>135</v>
      </c>
      <c r="F209" s="6" t="str">
        <f t="shared" si="3"/>
        <v/>
      </c>
    </row>
    <row r="210" spans="1:6">
      <c r="A210" s="6">
        <v>197</v>
      </c>
      <c r="B210" s="2" t="s">
        <v>450</v>
      </c>
      <c r="C210" s="2" t="s">
        <v>598</v>
      </c>
      <c r="D210" s="2" t="s">
        <v>451</v>
      </c>
      <c r="F210" s="6" t="str">
        <f t="shared" si="3"/>
        <v/>
      </c>
    </row>
    <row r="211" spans="1:6">
      <c r="A211" s="6">
        <v>198</v>
      </c>
      <c r="B211" s="2" t="s">
        <v>77</v>
      </c>
      <c r="C211" s="2" t="s">
        <v>598</v>
      </c>
      <c r="D211" s="2" t="s">
        <v>452</v>
      </c>
      <c r="F211" s="6" t="str">
        <f t="shared" si="3"/>
        <v/>
      </c>
    </row>
    <row r="212" spans="1:6">
      <c r="A212" s="6">
        <v>199</v>
      </c>
      <c r="B212" s="2" t="s">
        <v>8</v>
      </c>
      <c r="C212" s="2" t="s">
        <v>598</v>
      </c>
      <c r="D212" s="2" t="s">
        <v>7</v>
      </c>
      <c r="F212" s="6" t="str">
        <f t="shared" si="3"/>
        <v/>
      </c>
    </row>
    <row r="213" spans="1:6">
      <c r="A213" s="6">
        <v>200</v>
      </c>
      <c r="B213" s="2" t="s">
        <v>113</v>
      </c>
      <c r="C213" s="2" t="s">
        <v>598</v>
      </c>
      <c r="D213" s="2" t="s">
        <v>112</v>
      </c>
      <c r="F213" s="6" t="str">
        <f t="shared" si="3"/>
        <v/>
      </c>
    </row>
    <row r="214" spans="1:6">
      <c r="A214" s="6">
        <v>201</v>
      </c>
      <c r="B214" s="2" t="s">
        <v>453</v>
      </c>
      <c r="C214" s="2" t="s">
        <v>598</v>
      </c>
      <c r="D214" s="2" t="s">
        <v>454</v>
      </c>
      <c r="F214" s="6" t="str">
        <f t="shared" si="3"/>
        <v/>
      </c>
    </row>
    <row r="215" spans="1:6">
      <c r="A215" s="6">
        <v>202</v>
      </c>
      <c r="B215" s="2" t="s">
        <v>455</v>
      </c>
      <c r="C215" s="2" t="s">
        <v>598</v>
      </c>
      <c r="D215" s="2" t="s">
        <v>456</v>
      </c>
      <c r="F215" s="6" t="str">
        <f t="shared" si="3"/>
        <v/>
      </c>
    </row>
    <row r="216" spans="1:6">
      <c r="A216" s="6">
        <v>203</v>
      </c>
      <c r="B216" s="2" t="s">
        <v>20</v>
      </c>
      <c r="C216" s="2" t="s">
        <v>598</v>
      </c>
      <c r="D216" s="2" t="s">
        <v>19</v>
      </c>
      <c r="F216" s="6" t="str">
        <f t="shared" si="3"/>
        <v/>
      </c>
    </row>
    <row r="217" spans="1:6">
      <c r="A217" s="6">
        <v>204</v>
      </c>
      <c r="B217" s="2" t="s">
        <v>457</v>
      </c>
      <c r="C217" s="2" t="s">
        <v>598</v>
      </c>
      <c r="D217" s="2" t="s">
        <v>458</v>
      </c>
      <c r="F217" s="6" t="str">
        <f t="shared" si="3"/>
        <v/>
      </c>
    </row>
    <row r="218" spans="1:6">
      <c r="A218" s="6">
        <v>205</v>
      </c>
      <c r="B218" s="2" t="s">
        <v>459</v>
      </c>
      <c r="C218" s="2" t="s">
        <v>598</v>
      </c>
      <c r="F218" s="6" t="str">
        <f t="shared" si="3"/>
        <v/>
      </c>
    </row>
    <row r="219" spans="1:6">
      <c r="A219" s="6">
        <v>206</v>
      </c>
      <c r="B219" s="2" t="s">
        <v>460</v>
      </c>
      <c r="C219" s="2" t="s">
        <v>598</v>
      </c>
      <c r="D219" s="2" t="s">
        <v>461</v>
      </c>
      <c r="F219" s="6" t="str">
        <f t="shared" si="3"/>
        <v/>
      </c>
    </row>
    <row r="220" spans="1:6">
      <c r="A220" s="6">
        <v>207</v>
      </c>
      <c r="B220" s="2" t="s">
        <v>462</v>
      </c>
      <c r="C220" s="2" t="s">
        <v>598</v>
      </c>
      <c r="D220" s="2" t="s">
        <v>463</v>
      </c>
      <c r="F220" s="6" t="str">
        <f t="shared" si="3"/>
        <v/>
      </c>
    </row>
    <row r="221" spans="1:6">
      <c r="A221" s="6">
        <v>208</v>
      </c>
      <c r="B221" s="2" t="s">
        <v>464</v>
      </c>
      <c r="C221" s="2" t="s">
        <v>598</v>
      </c>
      <c r="D221" s="2" t="s">
        <v>465</v>
      </c>
      <c r="F221" s="6" t="str">
        <f t="shared" si="3"/>
        <v/>
      </c>
    </row>
    <row r="222" spans="1:6">
      <c r="A222" s="6">
        <v>209</v>
      </c>
      <c r="B222" s="2" t="s">
        <v>172</v>
      </c>
      <c r="C222" s="2" t="s">
        <v>598</v>
      </c>
      <c r="D222" s="2" t="s">
        <v>171</v>
      </c>
      <c r="F222" s="6" t="str">
        <f t="shared" si="3"/>
        <v/>
      </c>
    </row>
    <row r="223" spans="1:6">
      <c r="A223" s="6">
        <v>210</v>
      </c>
      <c r="B223" s="2" t="s">
        <v>466</v>
      </c>
      <c r="C223" s="2" t="s">
        <v>598</v>
      </c>
      <c r="D223" s="2" t="s">
        <v>467</v>
      </c>
      <c r="F223" s="6" t="str">
        <f t="shared" si="3"/>
        <v/>
      </c>
    </row>
    <row r="224" spans="1:6">
      <c r="A224" s="6">
        <v>211</v>
      </c>
      <c r="B224" s="2" t="s">
        <v>88</v>
      </c>
      <c r="C224" s="2" t="s">
        <v>598</v>
      </c>
      <c r="D224" s="2" t="s">
        <v>468</v>
      </c>
      <c r="F224" s="6" t="str">
        <f t="shared" si="3"/>
        <v/>
      </c>
    </row>
    <row r="225" spans="1:6">
      <c r="A225" s="6">
        <v>212</v>
      </c>
      <c r="B225" s="2" t="s">
        <v>76</v>
      </c>
      <c r="C225" s="2" t="s">
        <v>598</v>
      </c>
      <c r="D225" s="2" t="s">
        <v>469</v>
      </c>
      <c r="F225" s="6" t="str">
        <f t="shared" si="3"/>
        <v/>
      </c>
    </row>
    <row r="226" spans="1:6">
      <c r="A226" s="6">
        <v>213</v>
      </c>
      <c r="B226" s="2" t="s">
        <v>470</v>
      </c>
      <c r="C226" s="2" t="s">
        <v>598</v>
      </c>
      <c r="D226" s="2" t="s">
        <v>471</v>
      </c>
      <c r="F226" s="6" t="str">
        <f t="shared" si="3"/>
        <v/>
      </c>
    </row>
    <row r="227" spans="1:6">
      <c r="A227" s="6">
        <v>214</v>
      </c>
      <c r="B227" s="2" t="s">
        <v>472</v>
      </c>
      <c r="C227" s="2" t="s">
        <v>598</v>
      </c>
      <c r="D227" s="2" t="s">
        <v>473</v>
      </c>
      <c r="F227" s="6" t="str">
        <f t="shared" si="3"/>
        <v/>
      </c>
    </row>
    <row r="228" spans="1:6">
      <c r="A228" s="6">
        <v>215</v>
      </c>
      <c r="B228" s="2" t="s">
        <v>474</v>
      </c>
      <c r="C228" s="2" t="s">
        <v>598</v>
      </c>
      <c r="D228" s="2" t="s">
        <v>9</v>
      </c>
      <c r="F228" s="6" t="str">
        <f t="shared" si="3"/>
        <v/>
      </c>
    </row>
    <row r="229" spans="1:6">
      <c r="A229" s="6">
        <v>216</v>
      </c>
      <c r="B229" s="2" t="s">
        <v>43</v>
      </c>
      <c r="C229" s="2" t="s">
        <v>598</v>
      </c>
      <c r="D229" s="2" t="s">
        <v>42</v>
      </c>
      <c r="F229" s="6" t="str">
        <f t="shared" si="3"/>
        <v/>
      </c>
    </row>
    <row r="230" spans="1:6">
      <c r="A230" s="6">
        <v>217</v>
      </c>
      <c r="B230" s="2" t="s">
        <v>475</v>
      </c>
      <c r="C230" s="2" t="s">
        <v>598</v>
      </c>
      <c r="D230" s="2" t="s">
        <v>476</v>
      </c>
      <c r="F230" s="6" t="str">
        <f t="shared" si="3"/>
        <v/>
      </c>
    </row>
    <row r="231" spans="1:6">
      <c r="A231" s="6">
        <v>218</v>
      </c>
      <c r="B231" s="2" t="s">
        <v>101</v>
      </c>
      <c r="C231" s="2" t="s">
        <v>598</v>
      </c>
      <c r="D231" s="2" t="s">
        <v>100</v>
      </c>
      <c r="F231" s="6" t="str">
        <f t="shared" si="3"/>
        <v/>
      </c>
    </row>
    <row r="232" spans="1:6">
      <c r="A232" s="6">
        <v>219</v>
      </c>
      <c r="B232" s="2" t="s">
        <v>81</v>
      </c>
      <c r="C232" s="2" t="s">
        <v>598</v>
      </c>
      <c r="D232" s="2" t="s">
        <v>477</v>
      </c>
      <c r="F232" s="6" t="str">
        <f t="shared" si="3"/>
        <v/>
      </c>
    </row>
    <row r="233" spans="1:6">
      <c r="A233" s="6">
        <v>220</v>
      </c>
      <c r="B233" s="2" t="s">
        <v>37</v>
      </c>
      <c r="C233" s="2" t="s">
        <v>598</v>
      </c>
      <c r="D233" s="2" t="s">
        <v>36</v>
      </c>
      <c r="F233" s="6" t="str">
        <f t="shared" si="3"/>
        <v/>
      </c>
    </row>
    <row r="234" spans="1:6">
      <c r="A234" s="6">
        <v>221</v>
      </c>
      <c r="B234" s="2" t="s">
        <v>478</v>
      </c>
      <c r="C234" s="2" t="s">
        <v>598</v>
      </c>
      <c r="D234" s="2" t="s">
        <v>479</v>
      </c>
      <c r="F234" s="6" t="str">
        <f t="shared" si="3"/>
        <v/>
      </c>
    </row>
    <row r="235" spans="1:6">
      <c r="A235" s="6">
        <v>222</v>
      </c>
      <c r="B235" s="2" t="s">
        <v>480</v>
      </c>
      <c r="C235" s="2" t="s">
        <v>598</v>
      </c>
      <c r="D235" s="2" t="s">
        <v>481</v>
      </c>
      <c r="F235" s="6" t="str">
        <f t="shared" si="3"/>
        <v/>
      </c>
    </row>
    <row r="236" spans="1:6">
      <c r="A236" s="6">
        <v>223</v>
      </c>
      <c r="B236" s="2" t="s">
        <v>166</v>
      </c>
      <c r="C236" s="2" t="s">
        <v>598</v>
      </c>
      <c r="D236" s="2" t="s">
        <v>165</v>
      </c>
      <c r="F236" s="6" t="str">
        <f t="shared" si="3"/>
        <v/>
      </c>
    </row>
    <row r="237" spans="1:6">
      <c r="A237" s="6">
        <v>224</v>
      </c>
      <c r="B237" s="2" t="s">
        <v>22</v>
      </c>
      <c r="C237" s="2" t="s">
        <v>598</v>
      </c>
      <c r="D237" s="2" t="s">
        <v>21</v>
      </c>
      <c r="F237" s="6" t="str">
        <f t="shared" si="3"/>
        <v/>
      </c>
    </row>
    <row r="238" spans="1:6">
      <c r="A238" s="6">
        <v>225</v>
      </c>
      <c r="B238" s="2" t="s">
        <v>482</v>
      </c>
      <c r="C238" s="2" t="s">
        <v>598</v>
      </c>
      <c r="D238" s="2" t="s">
        <v>483</v>
      </c>
      <c r="F238" s="6" t="str">
        <f t="shared" si="3"/>
        <v/>
      </c>
    </row>
    <row r="239" spans="1:6">
      <c r="A239" s="6">
        <v>226</v>
      </c>
      <c r="B239" s="2" t="s">
        <v>484</v>
      </c>
      <c r="C239" s="2" t="s">
        <v>598</v>
      </c>
      <c r="D239" s="2" t="s">
        <v>485</v>
      </c>
      <c r="F239" s="6" t="str">
        <f t="shared" si="3"/>
        <v/>
      </c>
    </row>
    <row r="240" spans="1:6">
      <c r="A240" s="6">
        <v>227</v>
      </c>
      <c r="B240" s="2" t="s">
        <v>486</v>
      </c>
      <c r="C240" s="2" t="s">
        <v>598</v>
      </c>
      <c r="D240" s="2" t="s">
        <v>487</v>
      </c>
      <c r="F240" s="6" t="str">
        <f t="shared" si="3"/>
        <v/>
      </c>
    </row>
    <row r="241" spans="1:6">
      <c r="A241" s="6">
        <v>228</v>
      </c>
      <c r="B241" s="2" t="s">
        <v>133</v>
      </c>
      <c r="C241" s="2" t="s">
        <v>598</v>
      </c>
      <c r="D241" s="2" t="s">
        <v>132</v>
      </c>
      <c r="F241" s="6" t="str">
        <f t="shared" si="3"/>
        <v/>
      </c>
    </row>
    <row r="242" spans="1:6">
      <c r="A242" s="6">
        <v>229</v>
      </c>
      <c r="B242" s="2" t="s">
        <v>488</v>
      </c>
      <c r="C242" s="2" t="s">
        <v>598</v>
      </c>
      <c r="D242" s="2" t="s">
        <v>489</v>
      </c>
      <c r="F242" s="6" t="str">
        <f t="shared" si="3"/>
        <v/>
      </c>
    </row>
    <row r="243" spans="1:6">
      <c r="A243" s="6">
        <v>230</v>
      </c>
      <c r="B243" s="2" t="s">
        <v>490</v>
      </c>
      <c r="C243" s="2" t="s">
        <v>598</v>
      </c>
      <c r="D243" s="2" t="s">
        <v>491</v>
      </c>
      <c r="F243" s="6" t="str">
        <f t="shared" si="3"/>
        <v/>
      </c>
    </row>
    <row r="244" spans="1:6">
      <c r="A244" s="6">
        <v>231</v>
      </c>
      <c r="B244" s="2" t="s">
        <v>492</v>
      </c>
      <c r="C244" s="2" t="s">
        <v>598</v>
      </c>
      <c r="D244" s="2" t="s">
        <v>492</v>
      </c>
      <c r="F244" s="6" t="str">
        <f t="shared" si="3"/>
        <v/>
      </c>
    </row>
    <row r="245" spans="1:6">
      <c r="A245" s="6">
        <v>232</v>
      </c>
      <c r="B245" s="2" t="s">
        <v>493</v>
      </c>
      <c r="C245" s="2" t="s">
        <v>598</v>
      </c>
      <c r="D245" s="2" t="s">
        <v>494</v>
      </c>
      <c r="F245" s="6" t="str">
        <f t="shared" si="3"/>
        <v/>
      </c>
    </row>
    <row r="246" spans="1:6">
      <c r="A246" s="6">
        <v>233</v>
      </c>
      <c r="B246" s="2" t="s">
        <v>495</v>
      </c>
      <c r="C246" s="2" t="s">
        <v>598</v>
      </c>
      <c r="D246" s="2" t="s">
        <v>496</v>
      </c>
      <c r="F246" s="6" t="str">
        <f t="shared" si="3"/>
        <v/>
      </c>
    </row>
    <row r="247" spans="1:6">
      <c r="A247" s="6">
        <v>234</v>
      </c>
      <c r="B247" s="2" t="s">
        <v>497</v>
      </c>
      <c r="C247" s="2" t="s">
        <v>598</v>
      </c>
      <c r="D247" s="2" t="s">
        <v>498</v>
      </c>
      <c r="F247" s="6" t="str">
        <f t="shared" si="3"/>
        <v/>
      </c>
    </row>
    <row r="248" spans="1:6">
      <c r="A248" s="6">
        <v>235</v>
      </c>
      <c r="B248" s="2" t="s">
        <v>499</v>
      </c>
      <c r="C248" s="2" t="s">
        <v>598</v>
      </c>
      <c r="D248" s="2" t="s">
        <v>500</v>
      </c>
      <c r="F248" s="6" t="str">
        <f t="shared" si="3"/>
        <v/>
      </c>
    </row>
    <row r="249" spans="1:6">
      <c r="A249" s="6">
        <v>236</v>
      </c>
      <c r="B249" s="2" t="s">
        <v>501</v>
      </c>
      <c r="C249" s="2" t="s">
        <v>598</v>
      </c>
      <c r="D249" s="2" t="s">
        <v>71</v>
      </c>
      <c r="F249" s="6" t="str">
        <f t="shared" si="3"/>
        <v/>
      </c>
    </row>
    <row r="250" spans="1:6">
      <c r="A250" s="6">
        <v>237</v>
      </c>
      <c r="B250" s="2" t="s">
        <v>502</v>
      </c>
      <c r="C250" s="2" t="s">
        <v>598</v>
      </c>
      <c r="D250" s="2" t="s">
        <v>503</v>
      </c>
      <c r="F250" s="6" t="str">
        <f t="shared" si="3"/>
        <v/>
      </c>
    </row>
    <row r="251" spans="1:6">
      <c r="A251" s="6">
        <v>238</v>
      </c>
      <c r="B251" s="2" t="s">
        <v>504</v>
      </c>
      <c r="C251" s="2" t="s">
        <v>598</v>
      </c>
      <c r="D251" s="2" t="s">
        <v>505</v>
      </c>
      <c r="F251" s="6" t="str">
        <f t="shared" si="3"/>
        <v/>
      </c>
    </row>
    <row r="252" spans="1:6">
      <c r="A252" s="6">
        <v>239</v>
      </c>
      <c r="B252" s="2" t="s">
        <v>162</v>
      </c>
      <c r="C252" s="2" t="s">
        <v>598</v>
      </c>
      <c r="D252" s="2" t="s">
        <v>161</v>
      </c>
      <c r="F252" s="6" t="str">
        <f t="shared" si="3"/>
        <v/>
      </c>
    </row>
    <row r="253" spans="1:6">
      <c r="A253" s="6">
        <v>240</v>
      </c>
      <c r="B253" s="2" t="s">
        <v>506</v>
      </c>
      <c r="C253" s="2" t="s">
        <v>598</v>
      </c>
      <c r="D253" s="2" t="s">
        <v>507</v>
      </c>
      <c r="F253" s="6" t="str">
        <f t="shared" si="3"/>
        <v/>
      </c>
    </row>
    <row r="254" spans="1:6">
      <c r="A254" s="6">
        <v>241</v>
      </c>
      <c r="B254" s="2" t="s">
        <v>508</v>
      </c>
      <c r="C254" s="2" t="s">
        <v>598</v>
      </c>
      <c r="D254" s="2" t="s">
        <v>509</v>
      </c>
      <c r="F254" s="6" t="str">
        <f t="shared" si="3"/>
        <v/>
      </c>
    </row>
    <row r="255" spans="1:6">
      <c r="A255" s="6">
        <v>242</v>
      </c>
      <c r="B255" s="2" t="s">
        <v>111</v>
      </c>
      <c r="C255" s="2" t="s">
        <v>598</v>
      </c>
      <c r="D255" s="2" t="s">
        <v>110</v>
      </c>
      <c r="F255" s="6" t="str">
        <f t="shared" si="3"/>
        <v/>
      </c>
    </row>
    <row r="256" spans="1:6">
      <c r="A256" s="6">
        <v>243</v>
      </c>
      <c r="B256" s="2" t="s">
        <v>59</v>
      </c>
      <c r="C256" s="2" t="s">
        <v>598</v>
      </c>
      <c r="D256" s="2" t="s">
        <v>58</v>
      </c>
      <c r="F256" s="6" t="str">
        <f t="shared" si="3"/>
        <v/>
      </c>
    </row>
    <row r="257" spans="1:6">
      <c r="A257" s="6">
        <v>244</v>
      </c>
      <c r="B257" s="2" t="s">
        <v>510</v>
      </c>
      <c r="C257" s="2" t="s">
        <v>598</v>
      </c>
      <c r="D257" s="2" t="s">
        <v>511</v>
      </c>
      <c r="F257" s="6" t="str">
        <f t="shared" si="3"/>
        <v/>
      </c>
    </row>
    <row r="258" spans="1:6">
      <c r="A258" s="6">
        <v>245</v>
      </c>
      <c r="B258" s="2" t="s">
        <v>138</v>
      </c>
      <c r="C258" s="2" t="s">
        <v>598</v>
      </c>
      <c r="D258" s="2" t="s">
        <v>137</v>
      </c>
      <c r="F258" s="6" t="str">
        <f t="shared" si="3"/>
        <v/>
      </c>
    </row>
    <row r="259" spans="1:6">
      <c r="A259" s="6">
        <v>246</v>
      </c>
      <c r="B259" s="2" t="s">
        <v>512</v>
      </c>
      <c r="C259" s="2" t="s">
        <v>598</v>
      </c>
      <c r="D259" s="2" t="s">
        <v>513</v>
      </c>
      <c r="F259" s="6" t="str">
        <f t="shared" si="3"/>
        <v/>
      </c>
    </row>
    <row r="260" spans="1:6">
      <c r="A260" s="6">
        <v>247</v>
      </c>
      <c r="B260" s="2" t="s">
        <v>514</v>
      </c>
      <c r="C260" s="2" t="s">
        <v>598</v>
      </c>
      <c r="D260" s="2" t="s">
        <v>515</v>
      </c>
      <c r="F260" s="6" t="str">
        <f t="shared" si="3"/>
        <v/>
      </c>
    </row>
    <row r="261" spans="1:6">
      <c r="A261" s="6">
        <v>248</v>
      </c>
      <c r="B261" s="2" t="s">
        <v>516</v>
      </c>
      <c r="C261" s="2" t="s">
        <v>598</v>
      </c>
      <c r="D261" s="2" t="s">
        <v>517</v>
      </c>
      <c r="F261" s="6" t="str">
        <f t="shared" si="3"/>
        <v/>
      </c>
    </row>
    <row r="262" spans="1:6">
      <c r="A262" s="6">
        <v>249</v>
      </c>
      <c r="B262" s="2" t="s">
        <v>518</v>
      </c>
      <c r="C262" s="2" t="s">
        <v>598</v>
      </c>
      <c r="D262" s="2" t="s">
        <v>519</v>
      </c>
      <c r="F262" s="6" t="str">
        <f t="shared" si="3"/>
        <v/>
      </c>
    </row>
    <row r="263" spans="1:6">
      <c r="A263" s="6">
        <v>250</v>
      </c>
      <c r="B263" s="2" t="s">
        <v>520</v>
      </c>
      <c r="C263" s="2" t="s">
        <v>598</v>
      </c>
      <c r="D263" s="2" t="s">
        <v>521</v>
      </c>
      <c r="F263" s="6" t="str">
        <f t="shared" si="3"/>
        <v/>
      </c>
    </row>
    <row r="264" spans="1:6">
      <c r="A264" s="6">
        <v>251</v>
      </c>
      <c r="B264" s="2" t="s">
        <v>522</v>
      </c>
      <c r="C264" s="2" t="s">
        <v>598</v>
      </c>
      <c r="D264" s="2" t="s">
        <v>523</v>
      </c>
      <c r="F264" s="6" t="str">
        <f t="shared" si="3"/>
        <v/>
      </c>
    </row>
    <row r="265" spans="1:6">
      <c r="A265" s="6">
        <v>252</v>
      </c>
      <c r="B265" s="2" t="s">
        <v>524</v>
      </c>
      <c r="C265" s="2" t="s">
        <v>598</v>
      </c>
      <c r="D265" s="2" t="s">
        <v>525</v>
      </c>
      <c r="F265" s="6" t="str">
        <f t="shared" si="3"/>
        <v/>
      </c>
    </row>
    <row r="266" spans="1:6">
      <c r="A266" s="6">
        <v>253</v>
      </c>
      <c r="B266" s="2" t="s">
        <v>170</v>
      </c>
      <c r="C266" s="2" t="s">
        <v>598</v>
      </c>
      <c r="D266" s="2" t="s">
        <v>169</v>
      </c>
      <c r="F266" s="6" t="str">
        <f t="shared" si="3"/>
        <v/>
      </c>
    </row>
    <row r="267" spans="1:6">
      <c r="A267" s="6">
        <v>254</v>
      </c>
      <c r="B267" s="2" t="s">
        <v>526</v>
      </c>
      <c r="C267" s="2" t="s">
        <v>598</v>
      </c>
      <c r="D267" s="2" t="s">
        <v>527</v>
      </c>
      <c r="F267" s="6" t="str">
        <f t="shared" si="3"/>
        <v/>
      </c>
    </row>
    <row r="268" spans="1:6">
      <c r="A268" s="6">
        <v>255</v>
      </c>
      <c r="B268" s="2" t="s">
        <v>528</v>
      </c>
      <c r="C268" s="2" t="s">
        <v>598</v>
      </c>
      <c r="D268" s="2" t="s">
        <v>529</v>
      </c>
      <c r="F268" s="6" t="str">
        <f t="shared" si="3"/>
        <v/>
      </c>
    </row>
    <row r="269" spans="1:6">
      <c r="A269" s="6">
        <v>256</v>
      </c>
      <c r="B269" s="2" t="s">
        <v>530</v>
      </c>
      <c r="C269" s="2" t="s">
        <v>598</v>
      </c>
      <c r="D269" s="2" t="s">
        <v>531</v>
      </c>
      <c r="F269" s="6" t="str">
        <f t="shared" si="3"/>
        <v/>
      </c>
    </row>
    <row r="270" spans="1:6">
      <c r="A270" s="6">
        <v>257</v>
      </c>
      <c r="B270" s="2" t="s">
        <v>168</v>
      </c>
      <c r="C270" s="2" t="s">
        <v>598</v>
      </c>
      <c r="D270" s="2" t="s">
        <v>167</v>
      </c>
      <c r="F270" s="6" t="str">
        <f t="shared" si="3"/>
        <v/>
      </c>
    </row>
    <row r="271" spans="1:6">
      <c r="A271" s="6">
        <v>258</v>
      </c>
      <c r="B271" s="2" t="s">
        <v>532</v>
      </c>
      <c r="C271" s="2" t="s">
        <v>598</v>
      </c>
      <c r="D271" s="2" t="s">
        <v>533</v>
      </c>
      <c r="F271" s="6" t="str">
        <f t="shared" ref="F271:F299" si="4">IFERROR(VLOOKUP(E271,$AB:$AC,2,0),"")</f>
        <v/>
      </c>
    </row>
    <row r="272" spans="1:6">
      <c r="A272" s="6">
        <v>259</v>
      </c>
      <c r="B272" s="2" t="s">
        <v>534</v>
      </c>
      <c r="C272" s="2" t="s">
        <v>598</v>
      </c>
      <c r="D272" s="2" t="s">
        <v>535</v>
      </c>
      <c r="F272" s="6" t="str">
        <f t="shared" si="4"/>
        <v/>
      </c>
    </row>
    <row r="273" spans="1:6">
      <c r="A273" s="6">
        <v>260</v>
      </c>
      <c r="B273" s="2" t="s">
        <v>47</v>
      </c>
      <c r="C273" s="2" t="s">
        <v>598</v>
      </c>
      <c r="D273" s="2" t="s">
        <v>46</v>
      </c>
      <c r="F273" s="6" t="str">
        <f t="shared" si="4"/>
        <v/>
      </c>
    </row>
    <row r="274" spans="1:6">
      <c r="A274" s="6">
        <v>261</v>
      </c>
      <c r="B274" s="2" t="s">
        <v>536</v>
      </c>
      <c r="C274" s="2" t="s">
        <v>598</v>
      </c>
      <c r="D274" s="2" t="s">
        <v>537</v>
      </c>
      <c r="F274" s="6" t="str">
        <f t="shared" si="4"/>
        <v/>
      </c>
    </row>
    <row r="275" spans="1:6">
      <c r="A275" s="6">
        <v>262</v>
      </c>
      <c r="B275" s="2" t="s">
        <v>538</v>
      </c>
      <c r="C275" s="2" t="s">
        <v>598</v>
      </c>
      <c r="D275" s="2" t="s">
        <v>539</v>
      </c>
      <c r="F275" s="6" t="str">
        <f t="shared" si="4"/>
        <v/>
      </c>
    </row>
    <row r="276" spans="1:6">
      <c r="A276" s="6">
        <v>263</v>
      </c>
      <c r="B276" s="2" t="s">
        <v>540</v>
      </c>
      <c r="C276" s="2" t="s">
        <v>598</v>
      </c>
      <c r="D276" s="2" t="s">
        <v>541</v>
      </c>
      <c r="F276" s="6" t="str">
        <f t="shared" si="4"/>
        <v/>
      </c>
    </row>
    <row r="277" spans="1:6">
      <c r="A277" s="6">
        <v>264</v>
      </c>
      <c r="B277" s="2" t="s">
        <v>164</v>
      </c>
      <c r="C277" s="2" t="s">
        <v>598</v>
      </c>
      <c r="D277" s="2" t="s">
        <v>163</v>
      </c>
      <c r="F277" s="6" t="str">
        <f t="shared" si="4"/>
        <v/>
      </c>
    </row>
    <row r="278" spans="1:6">
      <c r="A278" s="6">
        <v>265</v>
      </c>
      <c r="B278" s="2" t="s">
        <v>542</v>
      </c>
      <c r="C278" s="2" t="s">
        <v>598</v>
      </c>
      <c r="D278" s="2" t="s">
        <v>543</v>
      </c>
      <c r="F278" s="6" t="str">
        <f t="shared" si="4"/>
        <v/>
      </c>
    </row>
    <row r="279" spans="1:6">
      <c r="A279" s="6">
        <v>266</v>
      </c>
      <c r="B279" s="2" t="s">
        <v>92</v>
      </c>
      <c r="C279" s="2" t="s">
        <v>598</v>
      </c>
      <c r="D279" s="2" t="s">
        <v>91</v>
      </c>
      <c r="F279" s="6" t="str">
        <f t="shared" si="4"/>
        <v/>
      </c>
    </row>
    <row r="280" spans="1:6">
      <c r="A280" s="6">
        <v>267</v>
      </c>
      <c r="B280" s="2" t="s">
        <v>544</v>
      </c>
      <c r="C280" s="2" t="s">
        <v>598</v>
      </c>
      <c r="D280" s="2" t="s">
        <v>545</v>
      </c>
      <c r="F280" s="6" t="str">
        <f t="shared" si="4"/>
        <v/>
      </c>
    </row>
    <row r="281" spans="1:6">
      <c r="A281" s="6">
        <v>268</v>
      </c>
      <c r="B281" s="2" t="s">
        <v>546</v>
      </c>
      <c r="C281" s="2" t="s">
        <v>598</v>
      </c>
      <c r="D281" s="2" t="s">
        <v>547</v>
      </c>
      <c r="F281" s="6" t="str">
        <f t="shared" si="4"/>
        <v/>
      </c>
    </row>
    <row r="282" spans="1:6">
      <c r="A282" s="6">
        <v>269</v>
      </c>
      <c r="B282" s="2" t="s">
        <v>548</v>
      </c>
      <c r="C282" s="2" t="s">
        <v>598</v>
      </c>
      <c r="D282" s="2" t="s">
        <v>548</v>
      </c>
      <c r="F282" s="6" t="str">
        <f t="shared" si="4"/>
        <v/>
      </c>
    </row>
    <row r="283" spans="1:6">
      <c r="A283" s="6">
        <v>270</v>
      </c>
      <c r="B283" s="2" t="s">
        <v>549</v>
      </c>
      <c r="C283" s="2" t="s">
        <v>598</v>
      </c>
      <c r="D283" s="2" t="s">
        <v>550</v>
      </c>
      <c r="F283" s="6" t="str">
        <f t="shared" si="4"/>
        <v/>
      </c>
    </row>
    <row r="284" spans="1:6">
      <c r="A284" s="6">
        <v>271</v>
      </c>
      <c r="B284" s="2" t="s">
        <v>13</v>
      </c>
      <c r="C284" s="2" t="s">
        <v>598</v>
      </c>
      <c r="D284" s="2" t="s">
        <v>12</v>
      </c>
      <c r="F284" s="6" t="str">
        <f t="shared" si="4"/>
        <v/>
      </c>
    </row>
    <row r="285" spans="1:6">
      <c r="A285" s="6">
        <v>272</v>
      </c>
      <c r="B285" s="2" t="s">
        <v>45</v>
      </c>
      <c r="C285" s="2" t="s">
        <v>598</v>
      </c>
      <c r="D285" s="2" t="s">
        <v>44</v>
      </c>
      <c r="F285" s="6" t="str">
        <f t="shared" si="4"/>
        <v/>
      </c>
    </row>
    <row r="286" spans="1:6">
      <c r="A286" s="6">
        <v>273</v>
      </c>
      <c r="B286" s="2" t="s">
        <v>1</v>
      </c>
      <c r="C286" s="2" t="s">
        <v>598</v>
      </c>
      <c r="D286" s="2" t="s">
        <v>551</v>
      </c>
      <c r="F286" s="6" t="str">
        <f t="shared" si="4"/>
        <v/>
      </c>
    </row>
    <row r="287" spans="1:6">
      <c r="A287" s="6">
        <v>274</v>
      </c>
      <c r="B287" s="2" t="s">
        <v>552</v>
      </c>
      <c r="C287" s="2" t="s">
        <v>598</v>
      </c>
      <c r="D287" s="2" t="s">
        <v>553</v>
      </c>
      <c r="F287" s="6" t="str">
        <f t="shared" si="4"/>
        <v/>
      </c>
    </row>
    <row r="288" spans="1:6">
      <c r="A288" s="6">
        <v>275</v>
      </c>
      <c r="B288" s="2" t="s">
        <v>554</v>
      </c>
      <c r="C288" s="2" t="s">
        <v>598</v>
      </c>
      <c r="D288" s="2" t="s">
        <v>555</v>
      </c>
      <c r="F288" s="6" t="str">
        <f t="shared" si="4"/>
        <v/>
      </c>
    </row>
    <row r="289" spans="1:6">
      <c r="A289" s="6">
        <v>276</v>
      </c>
      <c r="B289" s="2" t="s">
        <v>556</v>
      </c>
      <c r="C289" s="2" t="s">
        <v>598</v>
      </c>
      <c r="D289" s="2" t="s">
        <v>557</v>
      </c>
      <c r="F289" s="6" t="str">
        <f t="shared" si="4"/>
        <v/>
      </c>
    </row>
    <row r="290" spans="1:6">
      <c r="A290" s="6">
        <v>277</v>
      </c>
      <c r="B290" s="2" t="s">
        <v>558</v>
      </c>
      <c r="C290" s="2" t="s">
        <v>598</v>
      </c>
      <c r="D290" s="2" t="s">
        <v>559</v>
      </c>
      <c r="F290" s="6" t="str">
        <f t="shared" si="4"/>
        <v/>
      </c>
    </row>
    <row r="291" spans="1:6">
      <c r="A291" s="6">
        <v>278</v>
      </c>
      <c r="B291" s="2" t="s">
        <v>560</v>
      </c>
      <c r="C291" s="2" t="s">
        <v>598</v>
      </c>
      <c r="D291" s="2" t="s">
        <v>561</v>
      </c>
      <c r="F291" s="6" t="str">
        <f t="shared" si="4"/>
        <v/>
      </c>
    </row>
    <row r="292" spans="1:6">
      <c r="A292" s="6">
        <v>279</v>
      </c>
      <c r="B292" s="2" t="s">
        <v>562</v>
      </c>
      <c r="C292" s="2" t="s">
        <v>598</v>
      </c>
      <c r="D292" s="2" t="s">
        <v>563</v>
      </c>
      <c r="F292" s="6" t="str">
        <f t="shared" si="4"/>
        <v/>
      </c>
    </row>
    <row r="293" spans="1:6">
      <c r="A293" s="6">
        <v>280</v>
      </c>
      <c r="B293" s="2" t="s">
        <v>564</v>
      </c>
      <c r="C293" s="2" t="s">
        <v>598</v>
      </c>
      <c r="D293" s="2" t="s">
        <v>565</v>
      </c>
      <c r="F293" s="6" t="str">
        <f t="shared" si="4"/>
        <v/>
      </c>
    </row>
    <row r="294" spans="1:6">
      <c r="A294" s="6">
        <v>281</v>
      </c>
      <c r="B294" s="2" t="s">
        <v>566</v>
      </c>
      <c r="C294" s="2" t="s">
        <v>598</v>
      </c>
      <c r="D294" s="2" t="s">
        <v>567</v>
      </c>
      <c r="F294" s="6" t="str">
        <f t="shared" si="4"/>
        <v/>
      </c>
    </row>
    <row r="295" spans="1:6">
      <c r="A295" s="6">
        <v>282</v>
      </c>
      <c r="B295" s="2" t="s">
        <v>568</v>
      </c>
      <c r="C295" s="2" t="s">
        <v>598</v>
      </c>
      <c r="D295" s="2" t="s">
        <v>569</v>
      </c>
      <c r="F295" s="6" t="str">
        <f t="shared" si="4"/>
        <v/>
      </c>
    </row>
    <row r="296" spans="1:6">
      <c r="A296" s="6">
        <v>283</v>
      </c>
      <c r="B296" s="2" t="s">
        <v>570</v>
      </c>
      <c r="C296" s="2" t="s">
        <v>598</v>
      </c>
      <c r="D296" s="2" t="s">
        <v>571</v>
      </c>
      <c r="F296" s="6" t="str">
        <f t="shared" si="4"/>
        <v/>
      </c>
    </row>
    <row r="297" spans="1:6">
      <c r="A297" s="6">
        <v>284</v>
      </c>
      <c r="B297" s="2" t="s">
        <v>572</v>
      </c>
      <c r="C297" s="2" t="s">
        <v>598</v>
      </c>
      <c r="D297" s="2" t="s">
        <v>573</v>
      </c>
      <c r="F297" s="6" t="str">
        <f t="shared" si="4"/>
        <v/>
      </c>
    </row>
    <row r="298" spans="1:6">
      <c r="A298" s="6">
        <v>285</v>
      </c>
      <c r="B298" s="2" t="s">
        <v>574</v>
      </c>
      <c r="C298" s="2" t="s">
        <v>598</v>
      </c>
      <c r="D298" s="2" t="s">
        <v>575</v>
      </c>
      <c r="F298" s="6" t="str">
        <f t="shared" si="4"/>
        <v/>
      </c>
    </row>
    <row r="299" spans="1:6">
      <c r="A299" s="6">
        <v>286</v>
      </c>
      <c r="B299" s="2" t="s">
        <v>576</v>
      </c>
      <c r="C299" s="2" t="s">
        <v>598</v>
      </c>
      <c r="D299" s="2" t="s">
        <v>577</v>
      </c>
      <c r="F299" s="6" t="str">
        <f t="shared" si="4"/>
        <v/>
      </c>
    </row>
  </sheetData>
  <mergeCells count="1">
    <mergeCell ref="A1:F12"/>
  </mergeCells>
  <dataValidations count="2">
    <dataValidation type="list" allowBlank="1" showInputMessage="1" showErrorMessage="1" sqref="E14:E1048576" xr:uid="{FC9251D9-BC21-4A65-8251-F6E6705A3224}">
      <formula1>$AB$15:$AB$1048576</formula1>
    </dataValidation>
    <dataValidation type="list" allowBlank="1" showInputMessage="1" showErrorMessage="1" sqref="C14:C1048576" xr:uid="{8A22A2B6-9E7D-43E8-8C02-15175B0A0045}">
      <formula1>$AA$15:$AA$1048576</formula1>
    </dataValidation>
  </dataValidations>
  <pageMargins left="0.75" right="0.75" top="1" bottom="1" header="0.5" footer="0.5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BC84-9639-407F-AC78-20CE8DE582F5}">
  <sheetPr codeName="Sheet2"/>
  <dimension ref="A1:B286"/>
  <sheetViews>
    <sheetView showGridLines="0" zoomScale="110" zoomScaleNormal="110" workbookViewId="0">
      <selection sqref="A1:A286"/>
    </sheetView>
  </sheetViews>
  <sheetFormatPr defaultColWidth="9.140625" defaultRowHeight="12.75"/>
  <cols>
    <col min="1" max="1" width="42.140625" style="3" bestFit="1" customWidth="1"/>
    <col min="2" max="2" width="45.140625" style="2" bestFit="1" customWidth="1"/>
  </cols>
  <sheetData>
    <row r="1" spans="1:2">
      <c r="A1" s="2" t="s">
        <v>182</v>
      </c>
      <c r="B1" s="2" t="s">
        <v>182</v>
      </c>
    </row>
    <row r="2" spans="1:2">
      <c r="A2" s="2" t="s">
        <v>184</v>
      </c>
      <c r="B2" s="2" t="str">
        <f>VLOOKUP(A2,Glossary!B:D,3,0)</f>
        <v>Amigo de Responsabilidade</v>
      </c>
    </row>
    <row r="3" spans="1:2">
      <c r="A3" s="2" t="s">
        <v>73</v>
      </c>
      <c r="B3" s="2" t="str">
        <f>VLOOKUP(A3,Glossary!B:D,3,0)</f>
        <v>Conquista</v>
      </c>
    </row>
    <row r="4" spans="1:2">
      <c r="A4" s="2" t="s">
        <v>186</v>
      </c>
      <c r="B4" s="2" t="str">
        <f>VLOOKUP(A4,Glossary!B:D,3,0)</f>
        <v>Conquista Desbloqueada: Autocuidado</v>
      </c>
    </row>
    <row r="5" spans="1:2">
      <c r="A5" s="2" t="s">
        <v>82</v>
      </c>
      <c r="B5" s="2" t="str">
        <f>VLOOKUP(A5,Glossary!B:D,3,0)</f>
        <v>Conquista Amigos Alarmantes</v>
      </c>
    </row>
    <row r="6" spans="1:2">
      <c r="A6" s="2" t="s">
        <v>85</v>
      </c>
      <c r="B6" s="2" t="str">
        <f>VLOOKUP(A6,Glossary!B:D,3,0)</f>
        <v>Conquista Tudo o que Brilha</v>
      </c>
    </row>
    <row r="7" spans="1:2">
      <c r="A7" s="2" t="s">
        <v>189</v>
      </c>
      <c r="B7" s="2" t="str">
        <f>VLOOKUP(A7,Glossary!B:D,3,0)</f>
        <v>Aliança Âmbar</v>
      </c>
    </row>
    <row r="8" spans="1:2">
      <c r="A8" s="2" t="s">
        <v>191</v>
      </c>
      <c r="B8" s="2" t="str">
        <f>VLOOKUP(A8,Glossary!B:D,3,0)</f>
        <v>Aplicativo</v>
      </c>
    </row>
    <row r="9" spans="1:2">
      <c r="A9" s="2" t="s">
        <v>98</v>
      </c>
      <c r="B9" s="2" t="str">
        <f>VLOOKUP(A9,Glossary!B:D,3,0)</f>
        <v>Armário</v>
      </c>
    </row>
    <row r="10" spans="1:2">
      <c r="A10" s="2" t="s">
        <v>193</v>
      </c>
      <c r="B10" s="2" t="str">
        <f>VLOOKUP(A10,Glossary!B:D,3,0)</f>
        <v>Um Novelo Enrolado</v>
      </c>
    </row>
    <row r="11" spans="1:2">
      <c r="A11" s="2" t="s">
        <v>195</v>
      </c>
      <c r="B11" s="2" t="str">
        <f>VLOOKUP(A11,Glossary!B:D,3,0)</f>
        <v>Distribuição automática</v>
      </c>
    </row>
    <row r="12" spans="1:2">
      <c r="A12" s="2" t="s">
        <v>158</v>
      </c>
      <c r="B12" s="2" t="str">
        <f>VLOOKUP(A12,Glossary!B:D,3,0)</f>
        <v>Folha de Outono</v>
      </c>
    </row>
    <row r="13" spans="1:2">
      <c r="A13" s="2" t="s">
        <v>134</v>
      </c>
      <c r="B13" s="2" t="str">
        <f>VLOOKUP(A13,Glossary!B:D,3,0)</f>
        <v>Avatar</v>
      </c>
    </row>
    <row r="14" spans="1:2">
      <c r="A14" s="2" t="s">
        <v>198</v>
      </c>
      <c r="B14" s="2" t="str">
        <f>VLOOKUP(A14,Glossary!B:D,3,0)</f>
        <v>Nível de Apoiador</v>
      </c>
    </row>
    <row r="15" spans="1:2">
      <c r="A15" s="2" t="s">
        <v>200</v>
      </c>
      <c r="B15" s="2" t="str">
        <f>VLOOKUP(A15,Glossary!B:D,3,0)</f>
        <v>Cenário</v>
      </c>
    </row>
    <row r="16" spans="1:2">
      <c r="A16" s="2" t="s">
        <v>201</v>
      </c>
      <c r="B16" s="2" t="str">
        <f>VLOOKUP(A16,Glossary!B:D,3,0)</f>
        <v>Facada nas Costas</v>
      </c>
    </row>
    <row r="17" spans="1:2">
      <c r="A17" s="2" t="s">
        <v>203</v>
      </c>
      <c r="B17" s="2" t="str">
        <f>VLOOKUP(A17,Glossary!B:D,3,0)</f>
        <v>Atormentexugo Azucrinante</v>
      </c>
    </row>
    <row r="18" spans="1:2">
      <c r="A18" s="2" t="s">
        <v>75</v>
      </c>
      <c r="B18" s="2" t="str">
        <f>VLOOKUP(A18,Glossary!B:D,3,0)</f>
        <v>Medalhas</v>
      </c>
    </row>
    <row r="19" spans="1:2">
      <c r="A19" s="2" t="s">
        <v>205</v>
      </c>
      <c r="B19" s="2" t="str">
        <f>VLOOKUP(A19,Glossary!B:D,3,0)</f>
        <v>Basi-lista</v>
      </c>
    </row>
    <row r="20" spans="1:2">
      <c r="A20" s="2" t="s">
        <v>207</v>
      </c>
      <c r="B20" s="2" t="str">
        <f>VLOOKUP(A20,Glossary!B:D,3,0)</f>
        <v>Filhote de Urso</v>
      </c>
    </row>
    <row r="21" spans="1:2">
      <c r="A21" s="2" t="s">
        <v>209</v>
      </c>
      <c r="B21" s="2" t="str">
        <f>VLOOKUP(A21,Glossary!B:D,3,0)</f>
        <v>Conquista Mestre das Bestas</v>
      </c>
    </row>
    <row r="22" spans="1:2">
      <c r="A22" s="2" t="s">
        <v>211</v>
      </c>
      <c r="B22" s="2" t="str">
        <f>VLOOKUP(A22,Glossary!B:D,3,0)</f>
        <v>Iniciou uma Nova Aventura</v>
      </c>
    </row>
    <row r="23" spans="1:2">
      <c r="A23" s="2" t="s">
        <v>213</v>
      </c>
      <c r="B23" s="2" t="str">
        <f>VLOOKUP(A23,Glossary!B:D,3,0)</f>
        <v>Pérola Negra</v>
      </c>
    </row>
    <row r="24" spans="1:2">
      <c r="A24" s="2" t="s">
        <v>215</v>
      </c>
      <c r="B24" s="2" t="str">
        <f>VLOOKUP(A24,Glossary!B:D,3,0)</f>
        <v>Bênção</v>
      </c>
    </row>
    <row r="25" spans="1:2">
      <c r="A25" s="2" t="s">
        <v>80</v>
      </c>
      <c r="B25" s="2" t="str">
        <f>VLOOKUP(A25,Glossary!B:D,3,0)</f>
        <v>Conquista Colecionador de Ossos</v>
      </c>
    </row>
    <row r="26" spans="1:2">
      <c r="A26" s="2" t="s">
        <v>218</v>
      </c>
      <c r="B26" s="2" t="str">
        <f>VLOOKUP(A26,Glossary!B:D,3,0)</f>
        <v>Torta de Medula Óssea</v>
      </c>
    </row>
    <row r="27" spans="1:2">
      <c r="A27" s="2" t="s">
        <v>67</v>
      </c>
      <c r="B27" s="2" t="str">
        <f>VLOOKUP(A27,Glossary!B:D,3,0)</f>
        <v>Chefão</v>
      </c>
    </row>
    <row r="28" spans="1:2">
      <c r="A28" s="2" t="s">
        <v>220</v>
      </c>
      <c r="B28" s="2" t="str">
        <f>VLOOKUP(A28,Glossary!B:D,3,0)</f>
        <v>Missão de Chefão</v>
      </c>
    </row>
    <row r="29" spans="1:2">
      <c r="A29" s="2" t="s">
        <v>222</v>
      </c>
      <c r="B29" s="2" t="str">
        <f>VLOOKUP(A29,Glossary!B:D,3,0)</f>
        <v>Batalha do Besouro de Bronze</v>
      </c>
    </row>
    <row r="30" spans="1:2">
      <c r="A30" s="2" t="s">
        <v>224</v>
      </c>
      <c r="B30" s="2" t="str">
        <f>VLOOKUP(A30,Glossary!B:D,3,0)</f>
        <v>Golpe Brutal</v>
      </c>
    </row>
    <row r="31" spans="1:2">
      <c r="A31" s="2" t="s">
        <v>121</v>
      </c>
      <c r="B31" s="2" t="str">
        <f>VLOOKUP(A31,Glossary!B:D,3,0)</f>
        <v>Buff</v>
      </c>
    </row>
    <row r="32" spans="1:2">
      <c r="A32" s="2" t="s">
        <v>226</v>
      </c>
      <c r="B32" s="2" t="str">
        <f>VLOOKUP(A32,Glossary!B:D,3,0)</f>
        <v>Erro / Problema</v>
      </c>
    </row>
    <row r="33" spans="1:2">
      <c r="A33" s="2" t="s">
        <v>228</v>
      </c>
      <c r="B33" s="2" t="str">
        <f>VLOOKUP(A33,Glossary!B:D,3,0)</f>
        <v>Explosão de Chamas</v>
      </c>
    </row>
    <row r="34" spans="1:2">
      <c r="A34" s="2" t="s">
        <v>31</v>
      </c>
      <c r="B34" s="2" t="str">
        <f>VLOOKUP(A34,Glossary!B:D,3,0)</f>
        <v>Cacto</v>
      </c>
    </row>
    <row r="35" spans="1:2">
      <c r="A35" s="2" t="s">
        <v>230</v>
      </c>
      <c r="B35" s="2" t="str">
        <f>VLOOKUP(A35,Glossary!B:D,3,0)</f>
        <v>Desfiladeiro</v>
      </c>
    </row>
    <row r="36" spans="1:2">
      <c r="A36" s="2" t="s">
        <v>232</v>
      </c>
      <c r="B36" s="2" t="str">
        <f>VLOOKUP(A36,Glossary!B:D,3,0)</f>
        <v>Elenco de Personagens!</v>
      </c>
    </row>
    <row r="37" spans="1:2">
      <c r="A37" s="2" t="s">
        <v>131</v>
      </c>
      <c r="B37" s="2" t="str">
        <f>VLOOKUP(A37,Glossary!B:D,3,0)</f>
        <v>Atributos de Personagem</v>
      </c>
    </row>
    <row r="38" spans="1:2">
      <c r="A38" s="2" t="s">
        <v>234</v>
      </c>
      <c r="B38" s="2" t="str">
        <f>VLOOKUP(A38,Glossary!B:D,3,0)</f>
        <v>Lista de Tarefas</v>
      </c>
    </row>
    <row r="39" spans="1:2">
      <c r="A39" s="2" t="s">
        <v>236</v>
      </c>
      <c r="B39" s="2" t="str">
        <f>VLOOKUP(A39,Glossary!B:D,3,0)</f>
        <v>Verifique seu HP!</v>
      </c>
    </row>
    <row r="40" spans="1:2">
      <c r="A40" s="2" t="s">
        <v>238</v>
      </c>
      <c r="B40" s="2" t="str">
        <f>VLOOKUP(A40,Glossary!B:D,3,0)</f>
        <v>Geada Arrepiante</v>
      </c>
    </row>
    <row r="41" spans="1:2">
      <c r="A41" s="2" t="s">
        <v>240</v>
      </c>
      <c r="B41" s="2" t="str">
        <f>VLOOKUP(A41,Glossary!B:D,3,0)</f>
        <v>Missão de Coleta</v>
      </c>
    </row>
    <row r="42" spans="1:2">
      <c r="A42" s="2" t="s">
        <v>160</v>
      </c>
      <c r="B42" s="2" t="str">
        <f>VLOOKUP(A42,Glossary!B:D,3,0)</f>
        <v>Concurso de Fantasias da Comunidade</v>
      </c>
    </row>
    <row r="43" spans="1:2">
      <c r="A43" s="2" t="s">
        <v>242</v>
      </c>
      <c r="B43" s="2" t="str">
        <f>VLOOKUP(A43,Glossary!B:D,3,0)</f>
        <v>Não confere benefícios</v>
      </c>
    </row>
    <row r="44" spans="1:2">
      <c r="A44" s="2" t="s">
        <v>125</v>
      </c>
      <c r="B44" s="2" t="str">
        <f>VLOOKUP(A44,Glossary!B:D,3,0)</f>
        <v>Constituição</v>
      </c>
    </row>
    <row r="45" spans="1:2">
      <c r="A45" s="2" t="s">
        <v>244</v>
      </c>
      <c r="B45" s="2" t="str">
        <f>VLOOKUP(A45,Glossary!B:D,3,0)</f>
        <v>Conquista de Contribuidor</v>
      </c>
    </row>
    <row r="46" spans="1:2">
      <c r="A46" s="2" t="s">
        <v>246</v>
      </c>
      <c r="B46" s="2" t="str">
        <f>VLOOKUP(A46,Glossary!B:D,3,0)</f>
        <v>Nível de contribuição</v>
      </c>
    </row>
    <row r="47" spans="1:2">
      <c r="A47" s="2" t="s">
        <v>79</v>
      </c>
      <c r="B47" s="2" t="str">
        <f>VLOOKUP(A47,Glossary!B:D,3,0)</f>
        <v>Conquista Participante do Concurso de Fantasia</v>
      </c>
    </row>
    <row r="48" spans="1:2">
      <c r="A48" s="2" t="s">
        <v>248</v>
      </c>
      <c r="B48" s="2" t="str">
        <f>VLOOKUP(A48,Glossary!B:D,3,0)</f>
        <v>Aconchegante</v>
      </c>
    </row>
    <row r="49" spans="1:2">
      <c r="A49" s="2" t="s">
        <v>250</v>
      </c>
      <c r="B49" s="2" t="str">
        <f>VLOOKUP(A49,Glossary!B:D,3,0)</f>
        <v>Fenda</v>
      </c>
    </row>
    <row r="50" spans="1:2">
      <c r="A50" s="2" t="s">
        <v>123</v>
      </c>
      <c r="B50" s="2" t="str">
        <f>VLOOKUP(A50,Glossary!B:D,3,0)</f>
        <v>Acerto Crítico</v>
      </c>
    </row>
    <row r="51" spans="1:2">
      <c r="A51" s="2" t="s">
        <v>11</v>
      </c>
      <c r="B51" s="2" t="str">
        <f>VLOOKUP(A51,Glossary!B:D,3,0)</f>
        <v>Personalizações</v>
      </c>
    </row>
    <row r="52" spans="1:2">
      <c r="A52" s="2" t="s">
        <v>252</v>
      </c>
      <c r="B52" s="2" t="str">
        <f>VLOOKUP(A52,Glossary!B:D,3,0)</f>
        <v>Personalizar</v>
      </c>
    </row>
    <row r="53" spans="1:2">
      <c r="A53" s="2" t="s">
        <v>33</v>
      </c>
      <c r="B53" s="2" t="str">
        <f>VLOOKUP(A53,Glossary!B:D,3,0)</f>
        <v>Lula</v>
      </c>
    </row>
    <row r="54" spans="1:2">
      <c r="A54" s="2" t="s">
        <v>254</v>
      </c>
      <c r="B54" s="2" t="str">
        <f>VLOOKUP(A54,Glossary!B:D,3,0)</f>
        <v>Diária / Diárias</v>
      </c>
    </row>
    <row r="55" spans="1:2">
      <c r="A55" s="2" t="s">
        <v>256</v>
      </c>
      <c r="B55" s="2" t="str">
        <f>VLOOKUP(A55,Glossary!B:D,3,0)</f>
        <v>Torta de Chocolate Preto</v>
      </c>
    </row>
    <row r="56" spans="1:2">
      <c r="A56" s="2" t="s">
        <v>258</v>
      </c>
      <c r="B56" s="2" t="str">
        <f>VLOOKUP(A56,Glossary!B:D,3,0)</f>
        <v>Cervo</v>
      </c>
    </row>
    <row r="57" spans="1:2">
      <c r="A57" s="2" t="s">
        <v>260</v>
      </c>
      <c r="B57" s="2" t="str">
        <f>VLOOKUP(A57,Glossary!B:D,3,0)</f>
        <v>Postura Defensiva</v>
      </c>
    </row>
    <row r="58" spans="1:2">
      <c r="A58" s="2" t="s">
        <v>262</v>
      </c>
      <c r="B58" s="2" t="str">
        <f>VLOOKUP(A58,Glossary!B:D,3,0)</f>
        <v>Excluir</v>
      </c>
    </row>
    <row r="59" spans="1:2">
      <c r="A59" s="2" t="s">
        <v>39</v>
      </c>
      <c r="B59" s="2" t="str">
        <f>VLOOKUP(A59,Glossary!B:D,3,0)</f>
        <v>Lentópolis</v>
      </c>
    </row>
    <row r="60" spans="1:2">
      <c r="A60" s="2" t="s">
        <v>264</v>
      </c>
      <c r="B60" s="2" t="str">
        <f>VLOOKUP(A60,Glossary!B:D,3,0)</f>
        <v>Dinossauro Volta à Vida</v>
      </c>
    </row>
    <row r="61" spans="1:2">
      <c r="A61" s="2" t="s">
        <v>4</v>
      </c>
      <c r="B61" s="2" t="str">
        <f>VLOOKUP(A61,Glossary!B:D,3,0)</f>
        <v>Angústia</v>
      </c>
    </row>
    <row r="62" spans="1:2">
      <c r="A62" s="2" t="s">
        <v>266</v>
      </c>
      <c r="B62" s="2" t="str">
        <f>VLOOKUP(A62,Glossary!B:D,3,0)</f>
        <v>Golfinho da Dúvida</v>
      </c>
    </row>
    <row r="63" spans="1:2">
      <c r="A63" s="2" t="s">
        <v>268</v>
      </c>
      <c r="B63" s="2" t="str">
        <f>VLOOKUP(A63,Glossary!B:D,3,0)</f>
        <v>Não Seja um Completista!</v>
      </c>
    </row>
    <row r="64" spans="1:2">
      <c r="A64" s="2" t="s">
        <v>270</v>
      </c>
      <c r="B64" s="2" t="str">
        <f>VLOOKUP(A64,Glossary!B:D,3,0)</f>
        <v>Faça Uma Coisa Direito</v>
      </c>
    </row>
    <row r="65" spans="1:2">
      <c r="A65" s="2" t="s">
        <v>41</v>
      </c>
      <c r="B65" s="2" t="str">
        <f>VLOOKUP(A65,Glossary!B:D,3,0)</f>
        <v>Dragão</v>
      </c>
    </row>
    <row r="66" spans="1:2">
      <c r="A66" s="2" t="s">
        <v>119</v>
      </c>
      <c r="B66" s="2" t="str">
        <f>VLOOKUP(A66,Glossary!B:D,3,0)</f>
        <v>Drop</v>
      </c>
    </row>
    <row r="67" spans="1:2">
      <c r="A67" s="2" t="s">
        <v>272</v>
      </c>
      <c r="B67" s="2" t="str">
        <f>VLOOKUP(A67,Glossary!B:D,3,0)</f>
        <v>Data de vencimento</v>
      </c>
    </row>
    <row r="68" spans="1:2">
      <c r="A68" s="2" t="s">
        <v>274</v>
      </c>
      <c r="B68" s="2" t="str">
        <f>VLOOKUP(A68,Glossary!B:D,3,0)</f>
        <v>Masmorras da Labuta</v>
      </c>
    </row>
    <row r="69" spans="1:2">
      <c r="A69" s="2" t="s">
        <v>276</v>
      </c>
      <c r="B69" s="2" t="str">
        <f>VLOOKUP(A69,Glossary!B:D,3,0)</f>
        <v>Terremoto</v>
      </c>
    </row>
    <row r="70" spans="1:2">
      <c r="A70" s="2" t="s">
        <v>278</v>
      </c>
      <c r="B70" s="2" t="str">
        <f>VLOOKUP(A70,Glossary!B:D,3,0)</f>
        <v>Conjunto Primor-ovo</v>
      </c>
    </row>
    <row r="71" spans="1:2">
      <c r="A71" s="2" t="s">
        <v>280</v>
      </c>
      <c r="B71" s="2" t="str">
        <f>VLOOKUP(A71,Glossary!B:D,3,0)</f>
        <v>E-mail</v>
      </c>
    </row>
    <row r="72" spans="1:2">
      <c r="A72" s="2" t="s">
        <v>282</v>
      </c>
      <c r="B72" s="2" t="str">
        <f>VLOOKUP(A72,Glossary!B:D,3,0)</f>
        <v>Habilitar Traje</v>
      </c>
    </row>
    <row r="73" spans="1:2">
      <c r="A73" s="2" t="s">
        <v>96</v>
      </c>
      <c r="B73" s="2" t="str">
        <f>VLOOKUP(A73,Glossary!B:D,3,0)</f>
        <v>Armário Encantado</v>
      </c>
    </row>
    <row r="74" spans="1:2">
      <c r="A74" s="2" t="s">
        <v>284</v>
      </c>
      <c r="B74" s="2" t="str">
        <f>VLOOKUP(A74,Glossary!B:D,3,0)</f>
        <v>Pegar no Sono!</v>
      </c>
    </row>
    <row r="75" spans="1:2">
      <c r="A75" s="2" t="s">
        <v>286</v>
      </c>
      <c r="B75" s="2" t="str">
        <f>VLOOKUP(A75,Glossary!B:D,3,0)</f>
        <v>Fuja da Criatura da Caverna</v>
      </c>
    </row>
    <row r="76" spans="1:2">
      <c r="A76" s="2" t="s">
        <v>288</v>
      </c>
      <c r="B76" s="2" t="str">
        <f>VLOOKUP(A76,Glossary!B:D,3,0)</f>
        <v>Onda Etérea</v>
      </c>
    </row>
    <row r="77" spans="1:2">
      <c r="A77" s="2" t="s">
        <v>290</v>
      </c>
      <c r="B77" s="2" t="str">
        <f>VLOOKUP(A77,Glossary!B:D,3,0)</f>
        <v>Perene</v>
      </c>
    </row>
    <row r="78" spans="1:2">
      <c r="A78" s="2" t="s">
        <v>154</v>
      </c>
      <c r="B78" s="2" t="str">
        <f>VLOOKUP(A78,Glossary!B:D,3,0)</f>
        <v>Festival de Outono</v>
      </c>
    </row>
    <row r="79" spans="1:2">
      <c r="A79" s="2" t="s">
        <v>292</v>
      </c>
      <c r="B79" s="2" t="str">
        <f>VLOOKUP(A79,Glossary!B:D,3,0)</f>
        <v>Perguntas Frequentes</v>
      </c>
    </row>
    <row r="80" spans="1:2">
      <c r="A80" s="2" t="s">
        <v>294</v>
      </c>
      <c r="B80" s="2" t="str">
        <f>VLOOKUP(A80,Glossary!B:D,3,0)</f>
        <v>Pacote de Missões Amigos da Fazenda</v>
      </c>
    </row>
    <row r="81" spans="1:2">
      <c r="A81" s="2" t="s">
        <v>296</v>
      </c>
      <c r="B81" s="2" t="str">
        <f>VLOOKUP(A81,Glossary!B:D,3,0)</f>
        <v>Funcionalidade</v>
      </c>
    </row>
    <row r="82" spans="1:2">
      <c r="A82" s="2" t="s">
        <v>298</v>
      </c>
      <c r="B82" s="2" t="str">
        <f>VLOOKUP(A82,Glossary!B:D,3,0)</f>
        <v>Me Alimente, Seymour!</v>
      </c>
    </row>
    <row r="83" spans="1:2">
      <c r="A83" s="2" t="s">
        <v>300</v>
      </c>
      <c r="B83" s="2" t="str">
        <f>VLOOKUP(A83,Glossary!B:D,3,0)</f>
        <v>Encontre o Filhote</v>
      </c>
    </row>
    <row r="84" spans="1:2">
      <c r="A84" s="2" t="s">
        <v>302</v>
      </c>
      <c r="B84" s="2" t="str">
        <f>VLOOKUP(A84,Glossary!B:D,3,0)</f>
        <v>Destroços</v>
      </c>
    </row>
    <row r="85" spans="1:2">
      <c r="A85" s="2" t="s">
        <v>304</v>
      </c>
      <c r="B85" s="2" t="str">
        <f>VLOOKUP(A85,Glossary!B:D,3,0)</f>
        <v>Campos Florescentes</v>
      </c>
    </row>
    <row r="86" spans="1:2">
      <c r="A86" s="2" t="s">
        <v>87</v>
      </c>
      <c r="B86" s="2" t="str">
        <f>VLOOKUP(A86,Glossary!B:D,3,0)</f>
        <v>Conquista Amigos de Água Fresca</v>
      </c>
    </row>
    <row r="87" spans="1:2">
      <c r="A87" s="2" t="s">
        <v>146</v>
      </c>
      <c r="B87" s="2" t="str">
        <f>VLOOKUP(A87,Glossary!B:D,3,0)</f>
        <v>Poções de Eclosão Geada</v>
      </c>
    </row>
    <row r="88" spans="1:2">
      <c r="A88" s="2" t="s">
        <v>307</v>
      </c>
      <c r="B88" s="2" t="str">
        <f>VLOOKUP(A88,Glossary!B:D,3,0)</f>
        <v>Ganhando Pontos de Inspiração!</v>
      </c>
    </row>
    <row r="89" spans="1:2">
      <c r="A89" s="2" t="s">
        <v>309</v>
      </c>
      <c r="B89" s="2" t="str">
        <f>VLOOKUP(A89,Glossary!B:D,3,0)</f>
        <v>Mestre do Jogo</v>
      </c>
    </row>
    <row r="90" spans="1:2">
      <c r="A90" s="2" t="s">
        <v>311</v>
      </c>
      <c r="B90" s="2" t="str">
        <f>VLOOKUP(A90,Glossary!B:D,3,0)</f>
        <v>Equipamento</v>
      </c>
    </row>
    <row r="91" spans="1:2">
      <c r="A91" s="2" t="s">
        <v>116</v>
      </c>
      <c r="B91" s="2" t="str">
        <f>VLOOKUP(A91,Glossary!B:D,3,0)</f>
        <v>Gemas</v>
      </c>
    </row>
    <row r="92" spans="1:2">
      <c r="A92" s="2" t="s">
        <v>118</v>
      </c>
      <c r="B92" s="2" t="str">
        <f>VLOOKUP(A92,Glossary!B:D,3,0)</f>
        <v>Liquidação de Gemas</v>
      </c>
    </row>
    <row r="93" spans="1:2">
      <c r="A93" s="2" t="s">
        <v>312</v>
      </c>
      <c r="B93" s="2" t="str">
        <f>VLOOKUP(A93,Glossary!B:D,3,0)</f>
        <v>Ouro</v>
      </c>
    </row>
    <row r="94" spans="1:2">
      <c r="A94" s="2" t="s">
        <v>313</v>
      </c>
      <c r="B94" s="2" t="str">
        <f>VLOOKUP(A94,Glossary!B:D,3,0)</f>
        <v>Cavaleira Dourada</v>
      </c>
    </row>
    <row r="95" spans="1:2">
      <c r="A95" s="2" t="s">
        <v>315</v>
      </c>
      <c r="B95" s="2" t="str">
        <f>VLOOKUP(A95,Glossary!B:D,3,0)</f>
        <v>Conquista Bom como Ouro</v>
      </c>
    </row>
    <row r="96" spans="1:2">
      <c r="A96" s="2" t="s">
        <v>152</v>
      </c>
      <c r="B96" s="2" t="str">
        <f>VLOOKUP(A96,Glossary!B:D,3,0)</f>
        <v>Grande Gala</v>
      </c>
    </row>
    <row r="97" spans="1:2">
      <c r="A97" s="2" t="s">
        <v>316</v>
      </c>
      <c r="B97" s="2" t="str">
        <f>VLOOKUP(A97,Glossary!B:D,3,0)</f>
        <v>Plano de Time</v>
      </c>
    </row>
    <row r="98" spans="1:2">
      <c r="A98" s="2" t="s">
        <v>318</v>
      </c>
      <c r="B98" s="2" t="str">
        <f>VLOOKUP(A98,Glossary!B:D,3,0)</f>
        <v>Grifotriz</v>
      </c>
    </row>
    <row r="99" spans="1:2">
      <c r="A99" s="2" t="s">
        <v>29</v>
      </c>
      <c r="B99" s="2" t="str">
        <f>VLOOKUP(A99,Glossary!B:D,3,0)</f>
        <v>Grifo</v>
      </c>
    </row>
    <row r="100" spans="1:2">
      <c r="A100" s="2" t="s">
        <v>94</v>
      </c>
      <c r="B100" s="2" t="str">
        <f>VLOOKUP(A100,Glossary!B:D,3,0)</f>
        <v>Diretrizes</v>
      </c>
    </row>
    <row r="101" spans="1:2">
      <c r="A101" s="2" t="s">
        <v>57</v>
      </c>
      <c r="B101" s="2" t="str">
        <f>VLOOKUP(A101,Glossary!B:D,3,0)</f>
        <v>Guilda</v>
      </c>
    </row>
    <row r="102" spans="1:2">
      <c r="A102" s="2" t="s">
        <v>109</v>
      </c>
      <c r="B102" s="2" t="str">
        <f>VLOOKUP(A102,Glossary!B:D,3,0)</f>
        <v>Hábito</v>
      </c>
    </row>
    <row r="103" spans="1:2">
      <c r="A103" s="2" t="s">
        <v>320</v>
      </c>
      <c r="B103" s="2" t="str">
        <f>VLOOKUP(A103,Glossary!B:D,3,0)</f>
        <v>Cidade dos Hábitos</v>
      </c>
    </row>
    <row r="104" spans="1:2">
      <c r="A104" s="2" t="s">
        <v>322</v>
      </c>
      <c r="B104" s="2" t="str">
        <f>VLOOKUP(A104,Glossary!B:D,3,0)</f>
        <v>Habiticano</v>
      </c>
    </row>
    <row r="105" spans="1:2">
      <c r="A105" s="2" t="s">
        <v>149</v>
      </c>
      <c r="B105" s="2" t="str">
        <f>VLOOKUP(A105,Glossary!B:D,3,0)</f>
        <v>Dia da Nomeação do Habitica</v>
      </c>
    </row>
    <row r="106" spans="1:2">
      <c r="A106" s="2" t="s">
        <v>90</v>
      </c>
      <c r="B106" s="2" t="str">
        <f>VLOOKUP(A106,Glossary!B:D,3,0)</f>
        <v>Equipe do Habitica</v>
      </c>
    </row>
    <row r="107" spans="1:2">
      <c r="A107" s="2" t="s">
        <v>324</v>
      </c>
      <c r="B107" s="2" t="str">
        <f>VLOOKUP(A107,Glossary!B:D,3,0)</f>
        <v>Universidade Habitica</v>
      </c>
    </row>
    <row r="108" spans="1:2">
      <c r="A108" s="2" t="s">
        <v>155</v>
      </c>
      <c r="B108" s="2" t="str">
        <f>VLOOKUP(A108,Glossary!B:D,3,0)</f>
        <v>Habitoween</v>
      </c>
    </row>
    <row r="109" spans="1:2">
      <c r="A109" s="2" t="s">
        <v>326</v>
      </c>
      <c r="B109" s="2" t="str">
        <f>VLOOKUP(A109,Glossary!B:D,3,0)</f>
        <v>Salão dos Contribuidores</v>
      </c>
    </row>
    <row r="110" spans="1:2">
      <c r="A110" s="2" t="s">
        <v>328</v>
      </c>
      <c r="B110" s="2" t="str">
        <f>VLOOKUP(A110,Glossary!B:D,3,0)</f>
        <v>Salão dos Heróis</v>
      </c>
    </row>
    <row r="111" spans="1:2">
      <c r="A111" s="2" t="s">
        <v>330</v>
      </c>
      <c r="B111" s="2" t="str">
        <f>VLOOKUP(A111,Glossary!B:D,3,0)</f>
        <v>Salão dos Patrocinadores</v>
      </c>
    </row>
    <row r="112" spans="1:2">
      <c r="A112" s="2" t="s">
        <v>332</v>
      </c>
      <c r="B112" s="2" t="str">
        <f>VLOOKUP(A112,Glossary!B:D,3,0)</f>
        <v>Faster</v>
      </c>
    </row>
    <row r="113" spans="1:2">
      <c r="A113" s="2" t="s">
        <v>157</v>
      </c>
      <c r="B113" s="2" t="str">
        <f>VLOOKUP(A113,Glossary!B:D,3,0)</f>
        <v>Colheita</v>
      </c>
    </row>
    <row r="114" spans="1:2">
      <c r="A114" s="2" t="s">
        <v>140</v>
      </c>
      <c r="B114" s="2" t="str">
        <f>VLOOKUP(A114,Glossary!B:D,3,0)</f>
        <v>Eclodir</v>
      </c>
    </row>
    <row r="115" spans="1:2">
      <c r="A115" s="2" t="s">
        <v>142</v>
      </c>
      <c r="B115" s="2" t="str">
        <f>VLOOKUP(A115,Glossary!B:D,3,0)</f>
        <v>Poções de Eclosão</v>
      </c>
    </row>
    <row r="116" spans="1:2">
      <c r="A116" s="2" t="s">
        <v>334</v>
      </c>
      <c r="B116" s="2" t="str">
        <f>VLOOKUP(A116,Glossary!B:D,3,0)</f>
        <v>Capacete</v>
      </c>
    </row>
    <row r="117" spans="1:2">
      <c r="A117" s="2" t="s">
        <v>16</v>
      </c>
      <c r="B117" s="2" t="str">
        <f>VLOOKUP(A117,Glossary!B:D,3,0)</f>
        <v>Curandeiro(a)</v>
      </c>
    </row>
    <row r="118" spans="1:2">
      <c r="A118" s="2" t="s">
        <v>336</v>
      </c>
      <c r="B118" s="2" t="str">
        <f>VLOOKUP(A118,Glossary!B:D,3,0)</f>
        <v>Luz Curadora</v>
      </c>
    </row>
    <row r="119" spans="1:2">
      <c r="A119" s="2" t="s">
        <v>338</v>
      </c>
      <c r="B119" s="2" t="str">
        <f>VLOOKUP(A119,Glossary!B:D,3,0)</f>
        <v>Vida</v>
      </c>
    </row>
    <row r="120" spans="1:2">
      <c r="A120" s="2" t="s">
        <v>340</v>
      </c>
      <c r="B120" s="2" t="str">
        <f>VLOOKUP(A120,Glossary!B:D,3,0)</f>
        <v>Poção de Vida</v>
      </c>
    </row>
    <row r="121" spans="1:2">
      <c r="A121" s="2" t="s">
        <v>342</v>
      </c>
      <c r="B121" s="2" t="str">
        <f>VLOOKUP(A121,Glossary!B:D,3,0)</f>
        <v>Elmo</v>
      </c>
    </row>
    <row r="122" spans="1:2">
      <c r="A122" s="2" t="s">
        <v>344</v>
      </c>
      <c r="B122" s="2" t="str">
        <f>VLOOKUP(A122,Glossary!B:D,3,0)</f>
        <v>Triunfo do Herói!</v>
      </c>
    </row>
    <row r="123" spans="1:2">
      <c r="A123" s="2" t="s">
        <v>346</v>
      </c>
      <c r="B123" s="2" t="str">
        <f>VLOOKUP(A123,Glossary!B:D,3,0)</f>
        <v>Ocultar</v>
      </c>
    </row>
    <row r="124" spans="1:2">
      <c r="A124" s="2" t="s">
        <v>348</v>
      </c>
      <c r="B124" s="2" t="str">
        <f>VLOOKUP(A124,Glossary!B:D,3,0)</f>
        <v>Promoção de presentes de férias</v>
      </c>
    </row>
    <row r="125" spans="1:2">
      <c r="A125" s="2" t="s">
        <v>350</v>
      </c>
      <c r="B125" s="2" t="str">
        <f>VLOOKUP(A125,Glossary!B:D,3,0)</f>
        <v>Hipogrifo Otimista</v>
      </c>
    </row>
    <row r="126" spans="1:2">
      <c r="A126" s="2" t="s">
        <v>352</v>
      </c>
      <c r="B126" s="2" t="str">
        <f>VLOOKUP(A126,Glossary!B:D,3,0)</f>
        <v>Hurra</v>
      </c>
    </row>
    <row r="127" spans="1:2">
      <c r="A127" s="2" t="s">
        <v>354</v>
      </c>
      <c r="B127" s="2" t="str">
        <f>VLOOKUP(A127,Glossary!B:D,3,0)</f>
        <v>Eu Sou a Noite!</v>
      </c>
    </row>
    <row r="128" spans="1:2">
      <c r="A128" s="2" t="s">
        <v>356</v>
      </c>
      <c r="B128" s="2" t="str">
        <f>VLOOKUP(A128,Glossary!B:D,3,0)</f>
        <v>Aracnídeo de Gelo</v>
      </c>
    </row>
    <row r="129" spans="1:2">
      <c r="A129" s="2" t="s">
        <v>358</v>
      </c>
      <c r="B129" s="2" t="str">
        <f>VLOOKUP(A129,Glossary!B:D,3,0)</f>
        <v>Infestação das Lesmas Marinhas FaçAgora</v>
      </c>
    </row>
    <row r="130" spans="1:2">
      <c r="A130" s="2" t="s">
        <v>360</v>
      </c>
      <c r="B130" s="2" t="str">
        <f>VLOOKUP(A130,Glossary!B:D,3,0)</f>
        <v>Baía Inkompleta</v>
      </c>
    </row>
    <row r="131" spans="1:2">
      <c r="A131" s="2" t="s">
        <v>362</v>
      </c>
      <c r="B131" s="2" t="str">
        <f>VLOOKUP(A131,Glossary!B:D,3,0)</f>
        <v>Éprajá-caré</v>
      </c>
    </row>
    <row r="132" spans="1:2">
      <c r="A132" s="2" t="s">
        <v>127</v>
      </c>
      <c r="B132" s="2" t="str">
        <f>VLOOKUP(A132,Glossary!B:D,3,0)</f>
        <v>Inteligência</v>
      </c>
    </row>
    <row r="133" spans="1:2">
      <c r="A133" s="2" t="s">
        <v>364</v>
      </c>
      <c r="B133" s="2" t="str">
        <f>VLOOKUP(A133,Glossary!B:D,3,0)</f>
        <v>Olhar Intimidante</v>
      </c>
    </row>
    <row r="134" spans="1:2">
      <c r="A134" s="2" t="s">
        <v>366</v>
      </c>
      <c r="B134" s="2" t="str">
        <f>VLOOKUP(A134,Glossary!B:D,3,0)</f>
        <v>É Perigoso ir Sozinho!</v>
      </c>
    </row>
    <row r="135" spans="1:2">
      <c r="A135" s="2" t="s">
        <v>368</v>
      </c>
      <c r="B135" s="2" t="str">
        <f>VLOOKUP(A135,Glossary!B:D,3,0)</f>
        <v>Jack da Lanterna</v>
      </c>
    </row>
    <row r="136" spans="1:2">
      <c r="A136" s="2" t="s">
        <v>370</v>
      </c>
      <c r="B136" s="2" t="str">
        <f>VLOOKUP(A136,Glossary!B:D,3,0)</f>
        <v>Regente Geleia</v>
      </c>
    </row>
    <row r="137" spans="1:2">
      <c r="A137" s="2" t="s">
        <v>2</v>
      </c>
      <c r="B137" s="2" t="str">
        <f>VLOOKUP(A137,Glossary!B:D,3,0)</f>
        <v>Juntar-se / Entrar / Participar</v>
      </c>
    </row>
    <row r="138" spans="1:2">
      <c r="A138" s="2" t="s">
        <v>373</v>
      </c>
      <c r="B138" s="2" t="str">
        <f>VLOOKUP(A138,Glossary!B:D,3,0)</f>
        <v>Mantenha a Calma e Continue!</v>
      </c>
    </row>
    <row r="139" spans="1:2">
      <c r="A139" s="2" t="s">
        <v>375</v>
      </c>
      <c r="B139" s="2" t="str">
        <f>VLOOKUP(A139,Glossary!B:D,3,0)</f>
        <v>Chave dos Canis de Mascotes</v>
      </c>
    </row>
    <row r="140" spans="1:2">
      <c r="A140" s="2" t="s">
        <v>377</v>
      </c>
      <c r="B140" s="2" t="str">
        <f>VLOOKUP(A140,Glossary!B:D,3,0)</f>
        <v>Apoiador do Kickstarter</v>
      </c>
    </row>
    <row r="141" spans="1:2">
      <c r="A141" s="2" t="s">
        <v>379</v>
      </c>
      <c r="B141" s="2" t="str">
        <f>VLOOKUP(A141,Glossary!B:D,3,0)</f>
        <v>Koi</v>
      </c>
    </row>
    <row r="142" spans="1:2">
      <c r="A142" s="2" t="s">
        <v>380</v>
      </c>
      <c r="B142" s="2" t="str">
        <f>VLOOKUP(A142,Glossary!B:D,3,0)</f>
        <v>Equipamento de Edição Limitada do Verão de 2019</v>
      </c>
    </row>
    <row r="143" spans="1:2">
      <c r="A143" s="2" t="s">
        <v>382</v>
      </c>
      <c r="B143" s="2" t="str">
        <f>VLOOKUP(A143,Glossary!B:D,3,0)</f>
        <v>Bloqueado / Desbloqueado</v>
      </c>
    </row>
    <row r="144" spans="1:2">
      <c r="A144" s="2" t="s">
        <v>384</v>
      </c>
      <c r="B144" s="2" t="str">
        <f>VLOOKUP(A144,Glossary!B:D,3,0)</f>
        <v>Login</v>
      </c>
    </row>
    <row r="145" spans="1:2">
      <c r="A145" s="2" t="s">
        <v>18</v>
      </c>
      <c r="B145" s="2" t="str">
        <f>VLOOKUP(A145,Glossary!B:D,3,0)</f>
        <v>Mago(a)</v>
      </c>
    </row>
    <row r="146" spans="1:2">
      <c r="A146" s="2" t="s">
        <v>145</v>
      </c>
      <c r="B146" s="2" t="str">
        <f>VLOOKUP(A146,Glossary!B:D,3,0)</f>
        <v>Poções Mágicas de Eclosão</v>
      </c>
    </row>
    <row r="147" spans="1:2">
      <c r="A147" s="2" t="s">
        <v>385</v>
      </c>
      <c r="B147" s="2" t="str">
        <f>VLOOKUP(A147,Glossary!B:D,3,0)</f>
        <v>Tamarucata</v>
      </c>
    </row>
    <row r="148" spans="1:2">
      <c r="A148" s="2" t="s">
        <v>35</v>
      </c>
      <c r="B148" s="2" t="str">
        <f>VLOOKUP(A148,Glossary!B:D,3,0)</f>
        <v>Gosma de Marshmallow</v>
      </c>
    </row>
    <row r="149" spans="1:2">
      <c r="A149" s="2" t="s">
        <v>387</v>
      </c>
      <c r="B149" s="2" t="str">
        <f>VLOOKUP(A149,Glossary!B:D,3,0)</f>
        <v>Circo de Borbópolis</v>
      </c>
    </row>
    <row r="150" spans="1:2">
      <c r="A150" s="2" t="s">
        <v>389</v>
      </c>
      <c r="B150" s="2" t="str">
        <f>VLOOKUP(A150,Glossary!B:D,3,0)</f>
        <v>Babuíno Monstruoso e os Macacos Travessos</v>
      </c>
    </row>
    <row r="151" spans="1:2">
      <c r="A151" s="2" t="s">
        <v>391</v>
      </c>
      <c r="B151" s="2" t="str">
        <f>VLOOKUP(A151,Glossary!B:D,3,0)</f>
        <v>Vaca Muutante</v>
      </c>
    </row>
    <row r="152" spans="1:2">
      <c r="A152" s="2" t="s">
        <v>26</v>
      </c>
      <c r="B152" s="2" t="str">
        <f>VLOOKUP(A152,Glossary!B:D,3,0)</f>
        <v>Montaria</v>
      </c>
    </row>
    <row r="153" spans="1:2">
      <c r="A153" s="2" t="s">
        <v>393</v>
      </c>
      <c r="B153" s="2" t="str">
        <f>VLOOKUP(A153,Glossary!B:D,3,0)</f>
        <v>Conquista Mestre das Montarias</v>
      </c>
    </row>
    <row r="154" spans="1:2">
      <c r="A154" s="2" t="s">
        <v>395</v>
      </c>
      <c r="B154" s="2" t="str">
        <f>VLOOKUP(A154,Glossary!B:D,3,0)</f>
        <v>O Monte Habitica</v>
      </c>
    </row>
    <row r="155" spans="1:2">
      <c r="A155" s="2" t="s">
        <v>397</v>
      </c>
      <c r="B155" s="2" t="str">
        <f>VLOOKUP(A155,Glossary!B:D,3,0)</f>
        <v>Exercício Cooperativo com Multijogadores</v>
      </c>
    </row>
    <row r="156" spans="1:2">
      <c r="A156" s="2" t="s">
        <v>399</v>
      </c>
      <c r="B156" s="2" t="str">
        <f>VLOOKUP(A156,Glossary!B:D,3,0)</f>
        <v>Misteriosas Maravilhas Mecânicas</v>
      </c>
    </row>
    <row r="157" spans="1:2">
      <c r="A157" s="2" t="s">
        <v>401</v>
      </c>
      <c r="B157" s="2" t="str">
        <f>VLOOKUP(A157,Glossary!B:D,3,0)</f>
        <v>Ampulheta Mística</v>
      </c>
    </row>
    <row r="158" spans="1:2">
      <c r="A158" s="2" t="s">
        <v>403</v>
      </c>
      <c r="B158" s="2" t="str">
        <f>VLOOKUP(A158,Glossary!B:D,3,0)</f>
        <v>Pacote de Missões Maravilhas Míticas</v>
      </c>
    </row>
    <row r="159" spans="1:2">
      <c r="A159" s="2" t="s">
        <v>405</v>
      </c>
      <c r="B159" s="2" t="str">
        <f>VLOOKUP(A159,Glossary!B:D,3,0)</f>
        <v>Novidades da Bailey</v>
      </c>
    </row>
    <row r="160" spans="1:2">
      <c r="A160" s="2" t="s">
        <v>407</v>
      </c>
      <c r="B160" s="2" t="str">
        <f>VLOOKUP(A160,Glossary!B:D,3,0)</f>
        <v>Desafios Oficiais da Guilda New Year's Resolution</v>
      </c>
    </row>
    <row r="161" spans="1:2">
      <c r="A161" s="2" t="s">
        <v>409</v>
      </c>
      <c r="B161" s="2" t="str">
        <f>VLOOKUP(A161,Glossary!B:D,3,0)</f>
        <v>Senpai!</v>
      </c>
    </row>
    <row r="162" spans="1:2">
      <c r="A162" s="2" t="s">
        <v>411</v>
      </c>
      <c r="B162" s="2" t="str">
        <f>VLOOKUP(A162,Glossary!B:D,3,0)</f>
        <v>Lesma Marinha</v>
      </c>
    </row>
    <row r="163" spans="1:2">
      <c r="A163" s="2" t="s">
        <v>413</v>
      </c>
      <c r="B163" s="2" t="str">
        <f>VLOOKUP(A163,Glossary!B:D,3,0)</f>
        <v>Armadura de Regaleco</v>
      </c>
    </row>
    <row r="164" spans="1:2">
      <c r="A164" s="2" t="s">
        <v>415</v>
      </c>
      <c r="B164" s="2" t="str">
        <f>VLOOKUP(A164,Glossary!B:D,3,0)</f>
        <v>Off-line</v>
      </c>
    </row>
    <row r="165" spans="1:2">
      <c r="A165" s="2" t="s">
        <v>417</v>
      </c>
      <c r="B165" s="2" t="str">
        <f>VLOOKUP(A165,Glossary!B:D,3,0)</f>
        <v>On-line</v>
      </c>
    </row>
    <row r="166" spans="1:2">
      <c r="A166" s="2" t="s">
        <v>419</v>
      </c>
      <c r="B166" s="2" t="str">
        <f>VLOOKUP(A166,Glossary!B:D,3,0)</f>
        <v>Poção Opaque</v>
      </c>
    </row>
    <row r="167" spans="1:2">
      <c r="A167" s="2" t="s">
        <v>420</v>
      </c>
      <c r="B167" s="2" t="str">
        <f>VLOOKUP(A167,Glossary!B:D,3,0)</f>
        <v>Código aberto</v>
      </c>
    </row>
    <row r="168" spans="1:2">
      <c r="A168" s="2" t="s">
        <v>422</v>
      </c>
      <c r="B168" s="2" t="str">
        <f>VLOOKUP(A168,Glossary!B:D,3,0)</f>
        <v>Orbe do Renascimento</v>
      </c>
    </row>
    <row r="169" spans="1:2">
      <c r="A169" s="2" t="s">
        <v>424</v>
      </c>
      <c r="B169" s="2" t="str">
        <f>VLOOKUP(A169,Glossary!B:D,3,0)</f>
        <v>Organize Seu Inventário!</v>
      </c>
    </row>
    <row r="170" spans="1:2">
      <c r="A170" s="2" t="s">
        <v>55</v>
      </c>
      <c r="B170" s="2" t="str">
        <f>VLOOKUP(A170,Glossary!B:D,3,0)</f>
        <v>Grupo</v>
      </c>
    </row>
    <row r="171" spans="1:2">
      <c r="A171" s="2" t="s">
        <v>129</v>
      </c>
      <c r="B171" s="2" t="str">
        <f>VLOOKUP(A171,Glossary!B:D,3,0)</f>
        <v>Percepção</v>
      </c>
    </row>
    <row r="172" spans="1:2">
      <c r="A172" s="2" t="s">
        <v>24</v>
      </c>
      <c r="B172" s="2" t="str">
        <f>VLOOKUP(A172,Glossary!B:D,3,0)</f>
        <v>Mascote</v>
      </c>
    </row>
    <row r="173" spans="1:2">
      <c r="A173" s="2" t="s">
        <v>426</v>
      </c>
      <c r="B173" s="2" t="str">
        <f>VLOOKUP(A173,Glossary!B:D,3,0)</f>
        <v>Bater Carteira</v>
      </c>
    </row>
    <row r="174" spans="1:2">
      <c r="A174" s="2" t="s">
        <v>6</v>
      </c>
      <c r="B174" s="2" t="str">
        <f>VLOOKUP(A174,Glossary!B:D,3,0)</f>
        <v>Peças</v>
      </c>
    </row>
    <row r="175" spans="1:2">
      <c r="A175" s="2" t="s">
        <v>428</v>
      </c>
      <c r="B175" s="2" t="str">
        <f>VLOOKUP(A175,Glossary!B:D,3,0)</f>
        <v>Fixado / Desafixado</v>
      </c>
    </row>
    <row r="176" spans="1:2">
      <c r="A176" s="2" t="s">
        <v>430</v>
      </c>
      <c r="B176" s="2" t="str">
        <f>VLOOKUP(A176,Glossary!B:D,3,0)</f>
        <v>Níveis de Jogador</v>
      </c>
    </row>
    <row r="177" spans="1:2">
      <c r="A177" s="2" t="s">
        <v>432</v>
      </c>
      <c r="B177" s="2" t="str">
        <f>VLOOKUP(A177,Glossary!B:D,3,0)</f>
        <v>Jogando na Long Con!</v>
      </c>
    </row>
    <row r="178" spans="1:2">
      <c r="A178" s="2" t="s">
        <v>434</v>
      </c>
      <c r="B178" s="2" t="str">
        <f>VLOOKUP(A178,Glossary!B:D,3,0)</f>
        <v>Armadura de Flor-Do-Natal</v>
      </c>
    </row>
    <row r="179" spans="1:2">
      <c r="A179" s="2" t="s">
        <v>436</v>
      </c>
      <c r="B179" s="2" t="str">
        <f>VLOOKUP(A179,Glossary!B:D,3,0)</f>
        <v>Publicações</v>
      </c>
    </row>
    <row r="180" spans="1:2">
      <c r="A180" s="2" t="s">
        <v>438</v>
      </c>
      <c r="B180" s="2" t="str">
        <f>VLOOKUP(A180,Glossary!B:D,3,0)</f>
        <v>Aura Protetora</v>
      </c>
    </row>
    <row r="181" spans="1:2">
      <c r="A181" s="2" t="s">
        <v>440</v>
      </c>
      <c r="B181" s="2" t="str">
        <f>VLOOKUP(A181,Glossary!B:D,3,0)</f>
        <v>Pterror-dáctilo</v>
      </c>
    </row>
    <row r="182" spans="1:2">
      <c r="A182" s="2" t="s">
        <v>69</v>
      </c>
      <c r="B182" s="2" t="str">
        <f>VLOOKUP(A182,Glossary!B:D,3,0)</f>
        <v>Desafio Público</v>
      </c>
    </row>
    <row r="183" spans="1:2">
      <c r="A183" s="2" t="s">
        <v>442</v>
      </c>
      <c r="B183" s="2" t="str">
        <f>VLOOKUP(A183,Glossary!B:D,3,0)</f>
        <v>Filhote</v>
      </c>
    </row>
    <row r="184" spans="1:2">
      <c r="A184" s="2" t="s">
        <v>103</v>
      </c>
      <c r="B184" s="2" t="str">
        <f>VLOOKUP(A184,Glossary!B:D,3,0)</f>
        <v>Capacete de Grifo Roxo</v>
      </c>
    </row>
    <row r="185" spans="1:2">
      <c r="A185" s="2" t="s">
        <v>51</v>
      </c>
      <c r="B185" s="2" t="str">
        <f>VLOOKUP(A185,Glossary!B:D,3,0)</f>
        <v>Montaria Grifo Roxo</v>
      </c>
    </row>
    <row r="186" spans="1:2">
      <c r="A186" s="2" t="s">
        <v>53</v>
      </c>
      <c r="B186" s="2" t="str">
        <f>VLOOKUP(A186,Glossary!B:D,3,0)</f>
        <v>Mascote Grifo Roxo</v>
      </c>
    </row>
    <row r="187" spans="1:2">
      <c r="A187" s="2" t="s">
        <v>107</v>
      </c>
      <c r="B187" s="2" t="str">
        <f>VLOOKUP(A187,Glossary!B:D,3,0)</f>
        <v>Cauda de Grifo Roxo</v>
      </c>
    </row>
    <row r="188" spans="1:2">
      <c r="A188" s="2" t="s">
        <v>106</v>
      </c>
      <c r="B188" s="2" t="str">
        <f>VLOOKUP(A188,Glossary!B:D,3,0)</f>
        <v>Manto de Asa de Grifo Roxo</v>
      </c>
    </row>
    <row r="189" spans="1:2">
      <c r="A189" s="2" t="s">
        <v>63</v>
      </c>
      <c r="B189" s="2" t="str">
        <f>VLOOKUP(A189,Glossary!B:D,3,0)</f>
        <v>Missão</v>
      </c>
    </row>
    <row r="190" spans="1:2">
      <c r="A190" s="2" t="s">
        <v>65</v>
      </c>
      <c r="B190" s="2" t="str">
        <f>VLOOKUP(A190,Glossary!B:D,3,0)</f>
        <v>Pacote de Missões</v>
      </c>
    </row>
    <row r="191" spans="1:2">
      <c r="A191" s="2" t="s">
        <v>61</v>
      </c>
      <c r="B191" s="2" t="str">
        <f>VLOOKUP(A191,Glossary!B:D,3,0)</f>
        <v>Mercado de Missões</v>
      </c>
    </row>
    <row r="192" spans="1:2">
      <c r="A192" s="2" t="s">
        <v>444</v>
      </c>
      <c r="B192" s="2" t="str">
        <f>VLOOKUP(A192,Glossary!B:D,3,0)</f>
        <v>Barra de Fúria</v>
      </c>
    </row>
    <row r="193" spans="1:2">
      <c r="A193" s="2" t="s">
        <v>49</v>
      </c>
      <c r="B193" s="2" t="str">
        <f>VLOOKUP(A193,Glossary!B:D,3,0)</f>
        <v>Arco-íris</v>
      </c>
    </row>
    <row r="194" spans="1:2">
      <c r="A194" s="2" t="s">
        <v>446</v>
      </c>
      <c r="B194" s="2" t="str">
        <f>VLOOKUP(A194,Glossary!B:D,3,0)</f>
        <v>Cauda de Truta Arco-íris</v>
      </c>
    </row>
    <row r="195" spans="1:2">
      <c r="A195" s="2" t="s">
        <v>448</v>
      </c>
      <c r="B195" s="2" t="str">
        <f>VLOOKUP(A195,Glossary!B:D,3,0)</f>
        <v>Aleatório</v>
      </c>
    </row>
    <row r="196" spans="1:2">
      <c r="A196" s="2" t="s">
        <v>136</v>
      </c>
      <c r="B196" s="2" t="str">
        <f>VLOOKUP(A196,Glossary!B:D,3,0)</f>
        <v>Espada</v>
      </c>
    </row>
    <row r="197" spans="1:2">
      <c r="A197" s="2" t="s">
        <v>450</v>
      </c>
      <c r="B197" s="2" t="str">
        <f>VLOOKUP(A197,Glossary!B:D,3,0)</f>
        <v>Ceifador</v>
      </c>
    </row>
    <row r="198" spans="1:2">
      <c r="A198" s="2" t="s">
        <v>77</v>
      </c>
      <c r="B198" s="2" t="str">
        <f>VLOOKUP(A198,Glossary!B:D,3,0)</f>
        <v>Conquista Tapete Vermelho</v>
      </c>
    </row>
    <row r="199" spans="1:2">
      <c r="A199" s="2" t="s">
        <v>8</v>
      </c>
      <c r="B199" s="2" t="str">
        <f>VLOOKUP(A199,Glossary!B:D,3,0)</f>
        <v>Lançado</v>
      </c>
    </row>
    <row r="200" spans="1:2">
      <c r="A200" s="2" t="s">
        <v>113</v>
      </c>
      <c r="B200" s="2" t="str">
        <f>VLOOKUP(A200,Glossary!B:D,3,0)</f>
        <v>Recompensa</v>
      </c>
    </row>
    <row r="201" spans="1:2">
      <c r="A201" s="2" t="s">
        <v>453</v>
      </c>
      <c r="B201" s="2" t="str">
        <f>VLOOKUP(A201,Glossary!B:D,3,0)</f>
        <v>Cavalgue o Pesadelo</v>
      </c>
    </row>
    <row r="202" spans="1:2">
      <c r="A202" s="2" t="s">
        <v>455</v>
      </c>
      <c r="B202" s="2" t="str">
        <f>VLOOKUP(A202,Glossary!B:D,3,0)</f>
        <v>Túnica / Vestes</v>
      </c>
    </row>
    <row r="203" spans="1:2">
      <c r="A203" s="2" t="s">
        <v>20</v>
      </c>
      <c r="B203" s="2" t="str">
        <f>VLOOKUP(A203,Glossary!B:D,3,0)</f>
        <v>Gatuno(a)</v>
      </c>
    </row>
    <row r="204" spans="1:2">
      <c r="A204" s="2" t="s">
        <v>457</v>
      </c>
      <c r="B204" s="2" t="str">
        <f>VLOOKUP(A204,Glossary!B:D,3,0)</f>
        <v>Jogada Azarada!</v>
      </c>
    </row>
    <row r="205" spans="1:2">
      <c r="A205" s="2" t="s">
        <v>459</v>
      </c>
      <c r="B205" s="2">
        <f>VLOOKUP(A205,Glossary!B:D,3,0)</f>
        <v>0</v>
      </c>
    </row>
    <row r="206" spans="1:2">
      <c r="A206" s="2" t="s">
        <v>460</v>
      </c>
      <c r="B206" s="2" t="str">
        <f>VLOOKUP(A206,Glossary!B:D,3,0)</f>
        <v>Pacote de Missões Parceiros Arenosos</v>
      </c>
    </row>
    <row r="207" spans="1:2">
      <c r="A207" s="2" t="s">
        <v>462</v>
      </c>
      <c r="B207" s="2" t="str">
        <f>VLOOKUP(A207,Glossary!B:D,3,0)</f>
        <v>Captura de tela</v>
      </c>
    </row>
    <row r="208" spans="1:2">
      <c r="A208" s="2" t="s">
        <v>464</v>
      </c>
      <c r="B208" s="2" t="str">
        <f>VLOOKUP(A208,Glossary!B:D,3,0)</f>
        <v>Pergaminho</v>
      </c>
    </row>
    <row r="209" spans="1:2">
      <c r="A209" s="2" t="s">
        <v>172</v>
      </c>
      <c r="B209" s="2" t="str">
        <f>VLOOKUP(A209,Glossary!B:D,3,0)</f>
        <v>Espuma do Mar</v>
      </c>
    </row>
    <row r="210" spans="1:2">
      <c r="A210" s="2" t="s">
        <v>466</v>
      </c>
      <c r="B210" s="2" t="str">
        <f>VLOOKUP(A210,Glossary!B:D,3,0)</f>
        <v>Brilho Escaldante</v>
      </c>
    </row>
    <row r="211" spans="1:2">
      <c r="A211" s="2" t="s">
        <v>88</v>
      </c>
      <c r="B211" s="2" t="str">
        <f>VLOOKUP(A211,Glossary!B:D,3,0)</f>
        <v>Mercado Sazonal</v>
      </c>
    </row>
    <row r="212" spans="1:2">
      <c r="A212" s="2" t="s">
        <v>76</v>
      </c>
      <c r="B212" s="2" t="str">
        <f>VLOOKUP(A212,Glossary!B:D,3,0)</f>
        <v>Conquista Cartão Vermelho</v>
      </c>
    </row>
    <row r="213" spans="1:2">
      <c r="A213" s="2" t="s">
        <v>470</v>
      </c>
      <c r="B213" s="2" t="str">
        <f>VLOOKUP(A213,Glossary!B:D,3,0)</f>
        <v>Serpente da Distração</v>
      </c>
    </row>
    <row r="214" spans="1:2">
      <c r="A214" s="2" t="s">
        <v>472</v>
      </c>
      <c r="B214" s="2" t="str">
        <f>VLOOKUP(A214,Glossary!B:D,3,0)</f>
        <v>Conjunto 72: Lançado em Maio de 2020</v>
      </c>
    </row>
    <row r="215" spans="1:2">
      <c r="A215" s="2" t="s">
        <v>474</v>
      </c>
      <c r="B215" s="2" t="str">
        <f>VLOOKUP(A215,Glossary!B:D,3,0)</f>
        <v>Conjunto</v>
      </c>
    </row>
    <row r="216" spans="1:2">
      <c r="A216" s="2" t="s">
        <v>43</v>
      </c>
      <c r="B216" s="2" t="str">
        <f>VLOOKUP(A216,Glossary!B:D,3,0)</f>
        <v>Ovelha</v>
      </c>
    </row>
    <row r="217" spans="1:2">
      <c r="A217" s="2" t="s">
        <v>475</v>
      </c>
      <c r="B217" s="2" t="str">
        <f>VLOOKUP(A217,Glossary!B:D,3,0)</f>
        <v>Cintilante</v>
      </c>
    </row>
    <row r="218" spans="1:2">
      <c r="A218" s="2" t="s">
        <v>101</v>
      </c>
      <c r="B218" s="2" t="str">
        <f>VLOOKUP(A218,Glossary!B:D,3,0)</f>
        <v>Esqueleto</v>
      </c>
    </row>
    <row r="219" spans="1:2">
      <c r="A219" s="2" t="s">
        <v>81</v>
      </c>
      <c r="B219" s="2" t="str">
        <f>VLOOKUP(A219,Glossary!B:D,3,0)</f>
        <v>Conquista Equipe Esqueleto'</v>
      </c>
    </row>
    <row r="220" spans="1:2">
      <c r="A220" s="2" t="s">
        <v>37</v>
      </c>
      <c r="B220" s="2" t="str">
        <f>VLOOKUP(A220,Glossary!B:D,3,0)</f>
        <v>Gosma</v>
      </c>
    </row>
    <row r="221" spans="1:2">
      <c r="A221" s="2" t="s">
        <v>478</v>
      </c>
      <c r="B221" s="2" t="str">
        <f>VLOOKUP(A221,Glossary!B:D,3,0)</f>
        <v>Preguiça Sonolenta</v>
      </c>
    </row>
    <row r="222" spans="1:2">
      <c r="A222" s="2" t="s">
        <v>480</v>
      </c>
      <c r="B222" s="2" t="str">
        <f>VLOOKUP(A222,Glossary!B:D,3,0)</f>
        <v>Magia</v>
      </c>
    </row>
    <row r="223" spans="1:2">
      <c r="A223" s="2" t="s">
        <v>166</v>
      </c>
      <c r="B223" s="2" t="str">
        <f>VLOOKUP(A223,Glossary!B:D,3,0)</f>
        <v>Brilhos Assustadores</v>
      </c>
    </row>
    <row r="224" spans="1:2">
      <c r="A224" s="2" t="s">
        <v>22</v>
      </c>
      <c r="B224" s="2" t="str">
        <f>VLOOKUP(A224,Glossary!B:D,3,0)</f>
        <v>Estábulo</v>
      </c>
    </row>
    <row r="225" spans="1:2">
      <c r="A225" s="2" t="s">
        <v>482</v>
      </c>
      <c r="B225" s="2" t="str">
        <f>VLOOKUP(A225,Glossary!B:D,3,0)</f>
        <v>Cajado</v>
      </c>
    </row>
    <row r="226" spans="1:2">
      <c r="A226" s="2" t="s">
        <v>484</v>
      </c>
      <c r="B226" s="2" t="str">
        <f>VLOOKUP(A226,Glossary!B:D,3,0)</f>
        <v>Mascote Básico</v>
      </c>
    </row>
    <row r="227" spans="1:2">
      <c r="A227" s="2" t="s">
        <v>486</v>
      </c>
      <c r="B227" s="2" t="str">
        <f>VLOOKUP(A227,Glossary!B:D,3,0)</f>
        <v>Surpreendente Ideia Estrelada</v>
      </c>
    </row>
    <row r="228" spans="1:2">
      <c r="A228" s="2" t="s">
        <v>133</v>
      </c>
      <c r="B228" s="2" t="str">
        <f>VLOOKUP(A228,Glossary!B:D,3,0)</f>
        <v>Atributos</v>
      </c>
    </row>
    <row r="229" spans="1:2">
      <c r="A229" s="2" t="s">
        <v>488</v>
      </c>
      <c r="B229" s="2" t="str">
        <f>VLOOKUP(A229,Glossary!B:D,3,0)</f>
        <v>Armadura Estatuária</v>
      </c>
    </row>
    <row r="230" spans="1:2">
      <c r="A230" s="2" t="s">
        <v>490</v>
      </c>
      <c r="B230" s="2" t="str">
        <f>VLOOKUP(A230,Glossary!B:D,3,0)</f>
        <v>Furtividade</v>
      </c>
    </row>
    <row r="231" spans="1:2">
      <c r="A231" s="2" t="s">
        <v>492</v>
      </c>
      <c r="B231" s="2" t="str">
        <f>VLOOKUP(A231,Glossary!B:D,3,0)</f>
        <v>Stoïkalm</v>
      </c>
    </row>
    <row r="232" spans="1:2">
      <c r="A232" s="2" t="s">
        <v>493</v>
      </c>
      <c r="B232" s="2" t="str">
        <f>VLOOKUP(A232,Glossary!B:D,3,0)</f>
        <v>Bônus de combo</v>
      </c>
    </row>
    <row r="233" spans="1:2">
      <c r="A233" s="2" t="s">
        <v>495</v>
      </c>
      <c r="B233" s="2" t="str">
        <f>VLOOKUP(A233,Glossary!B:D,3,0)</f>
        <v>Combos</v>
      </c>
    </row>
    <row r="234" spans="1:2">
      <c r="A234" s="2" t="s">
        <v>497</v>
      </c>
      <c r="B234" s="2" t="str">
        <f>VLOOKUP(A234,Glossary!B:D,3,0)</f>
        <v>Força / FOR</v>
      </c>
    </row>
    <row r="235" spans="1:2">
      <c r="A235" s="2" t="s">
        <v>499</v>
      </c>
      <c r="B235" s="2" t="str">
        <f>VLOOKUP(A235,Glossary!B:D,3,0)</f>
        <v>Assinante</v>
      </c>
    </row>
    <row r="236" spans="1:2">
      <c r="A236" s="2" t="s">
        <v>501</v>
      </c>
      <c r="B236" s="2" t="str">
        <f>VLOOKUP(A236,Glossary!B:D,3,0)</f>
        <v>Assinatura</v>
      </c>
    </row>
    <row r="237" spans="1:2">
      <c r="A237" s="2" t="s">
        <v>502</v>
      </c>
      <c r="B237" s="2" t="str">
        <f>VLOOKUP(A237,Glossary!B:D,3,0)</f>
        <v>Raio solar</v>
      </c>
    </row>
    <row r="238" spans="1:2">
      <c r="A238" s="2" t="s">
        <v>504</v>
      </c>
      <c r="B238" s="2" t="str">
        <f>VLOOKUP(A238,Glossary!B:D,3,0)</f>
        <v>Etiqueta</v>
      </c>
    </row>
    <row r="239" spans="1:2">
      <c r="A239" s="2" t="s">
        <v>162</v>
      </c>
      <c r="B239" s="2" t="str">
        <f>VLOOKUP(A239,Glossary!B:D,3,0)</f>
        <v>Desafio da Take This</v>
      </c>
    </row>
    <row r="240" spans="1:2">
      <c r="A240" s="2" t="s">
        <v>506</v>
      </c>
      <c r="B240" s="2" t="str">
        <f>VLOOKUP(A240,Glossary!B:D,3,0)</f>
        <v>Domar</v>
      </c>
    </row>
    <row r="241" spans="1:2">
      <c r="A241" s="2" t="s">
        <v>508</v>
      </c>
      <c r="B241" s="2" t="str">
        <f>VLOOKUP(A241,Glossary!B:D,3,0)</f>
        <v>Árvore Enrolada</v>
      </c>
    </row>
    <row r="242" spans="1:2">
      <c r="A242" s="2" t="s">
        <v>111</v>
      </c>
      <c r="B242" s="2" t="str">
        <f>VLOOKUP(A242,Glossary!B:D,3,0)</f>
        <v>Tarefa</v>
      </c>
    </row>
    <row r="243" spans="1:2">
      <c r="A243" s="2" t="s">
        <v>59</v>
      </c>
      <c r="B243" s="2" t="str">
        <f>VLOOKUP(A243,Glossary!B:D,3,0)</f>
        <v>Taverna</v>
      </c>
    </row>
    <row r="244" spans="1:2">
      <c r="A244" s="2" t="s">
        <v>510</v>
      </c>
      <c r="B244" s="2" t="str">
        <f>VLOOKUP(A244,Glossary!B:D,3,0)</f>
        <v>Bate-papo da Taverna</v>
      </c>
    </row>
    <row r="245" spans="1:2">
      <c r="A245" s="2" t="s">
        <v>138</v>
      </c>
      <c r="B245" s="2" t="str">
        <f>VLOOKUP(A245,Glossary!B:D,3,0)</f>
        <v>Telescópio</v>
      </c>
    </row>
    <row r="246" spans="1:2">
      <c r="A246" s="2" t="s">
        <v>512</v>
      </c>
      <c r="B246" s="2" t="str">
        <f>VLOOKUP(A246,Glossary!B:D,3,0)</f>
        <v>Horror em Matarefa</v>
      </c>
    </row>
    <row r="247" spans="1:2">
      <c r="A247" s="2" t="s">
        <v>514</v>
      </c>
      <c r="B247" s="2" t="str">
        <f>VLOOKUP(A247,Glossary!B:D,3,0)</f>
        <v>Teste a Tua Coragem!</v>
      </c>
    </row>
    <row r="248" spans="1:2">
      <c r="A248" s="2" t="s">
        <v>516</v>
      </c>
      <c r="B248" s="2" t="str">
        <f>VLOOKUP(A248,Glossary!B:D,3,0)</f>
        <v>A Tatu Indulgente</v>
      </c>
    </row>
    <row r="249" spans="1:2">
      <c r="A249" s="2" t="s">
        <v>518</v>
      </c>
      <c r="B249" s="2" t="str">
        <f>VLOOKUP(A249,Glossary!B:D,3,0)</f>
        <v>O / No / Do Habitica</v>
      </c>
    </row>
    <row r="250" spans="1:2">
      <c r="A250" s="2" t="s">
        <v>520</v>
      </c>
      <c r="B250" s="2" t="str">
        <f>VLOOKUP(A250,Glossary!B:D,3,0)</f>
        <v>Esse Vai Para o 11!</v>
      </c>
    </row>
    <row r="251" spans="1:2">
      <c r="A251" s="2" t="s">
        <v>522</v>
      </c>
      <c r="B251" s="2" t="str">
        <f>VLOOKUP(A251,Glossary!B:D,3,0)</f>
        <v>Carneiro do Trovão</v>
      </c>
    </row>
    <row r="252" spans="1:2">
      <c r="A252" s="2" t="s">
        <v>524</v>
      </c>
      <c r="B252" s="2" t="str">
        <f>VLOOKUP(A252,Glossary!B:D,3,0)</f>
        <v>Nível</v>
      </c>
    </row>
    <row r="253" spans="1:2">
      <c r="A253" s="2" t="s">
        <v>170</v>
      </c>
      <c r="B253" s="2" t="str">
        <f>VLOOKUP(A253,Glossary!B:D,3,0)</f>
        <v>Viajantes do Tempo</v>
      </c>
    </row>
    <row r="254" spans="1:2">
      <c r="A254" s="2" t="s">
        <v>526</v>
      </c>
      <c r="B254" s="2" t="str">
        <f>VLOOKUP(A254,Glossary!B:D,3,0)</f>
        <v>Afazer / Afazeres</v>
      </c>
    </row>
    <row r="255" spans="1:2">
      <c r="A255" s="2" t="s">
        <v>528</v>
      </c>
      <c r="B255" s="2" t="str">
        <f>VLOOKUP(A255,Glossary!B:D,3,0)</f>
        <v>Ferramentas do Ofício</v>
      </c>
    </row>
    <row r="256" spans="1:2">
      <c r="A256" s="2" t="s">
        <v>530</v>
      </c>
      <c r="B256" s="2" t="str">
        <f>VLOOKUP(A256,Glossary!B:D,3,0)</f>
        <v>Triceratops Pisoteador</v>
      </c>
    </row>
    <row r="257" spans="1:2">
      <c r="A257" s="2" t="s">
        <v>168</v>
      </c>
      <c r="B257" s="2" t="str">
        <f>VLOOKUP(A257,Glossary!B:D,3,0)</f>
        <v>Itens de Transformação</v>
      </c>
    </row>
    <row r="258" spans="1:2">
      <c r="A258" s="2" t="s">
        <v>532</v>
      </c>
      <c r="B258" s="2" t="str">
        <f>VLOOKUP(A258,Glossary!B:D,3,0)</f>
        <v>Noel Caçador</v>
      </c>
    </row>
    <row r="259" spans="1:2">
      <c r="A259" s="2" t="s">
        <v>534</v>
      </c>
      <c r="B259" s="2" t="str">
        <f>VLOOKUP(A259,Glossary!B:D,3,0)</f>
        <v>Conquista Bingo Tríade</v>
      </c>
    </row>
    <row r="260" spans="1:2">
      <c r="A260" s="2" t="s">
        <v>47</v>
      </c>
      <c r="B260" s="2" t="str">
        <f>VLOOKUP(A260,Glossary!B:D,3,0)</f>
        <v>Peru</v>
      </c>
    </row>
    <row r="261" spans="1:2">
      <c r="A261" s="2" t="s">
        <v>536</v>
      </c>
      <c r="B261" s="2" t="str">
        <f>VLOOKUP(A261,Glossary!B:D,3,0)</f>
        <v>Trabalho de Tesouro Turquesa</v>
      </c>
    </row>
    <row r="262" spans="1:2">
      <c r="A262" s="2" t="s">
        <v>538</v>
      </c>
      <c r="B262" s="2" t="str">
        <f>VLOOKUP(A262,Glossary!B:D,3,0)</f>
        <v>Pontos de Atributos não distribuídos</v>
      </c>
    </row>
    <row r="263" spans="1:2">
      <c r="A263" s="2" t="s">
        <v>540</v>
      </c>
      <c r="B263" s="2" t="str">
        <f>VLOOKUP(A263,Glossary!B:D,3,0)</f>
        <v>Sem buffs</v>
      </c>
    </row>
    <row r="264" spans="1:2">
      <c r="A264" s="2" t="s">
        <v>164</v>
      </c>
      <c r="B264" s="2" t="str">
        <f>VLOOKUP(A264,Glossary!B:D,3,0)</f>
        <v>Dados não compactados</v>
      </c>
    </row>
    <row r="265" spans="1:2">
      <c r="A265" s="2" t="s">
        <v>542</v>
      </c>
      <c r="B265" s="2" t="str">
        <f>VLOOKUP(A265,Glossary!B:D,3,0)</f>
        <v>Até o fim do dia</v>
      </c>
    </row>
    <row r="266" spans="1:2">
      <c r="A266" s="2" t="s">
        <v>92</v>
      </c>
      <c r="B266" s="2" t="str">
        <f>VLOOKUP(A266,Glossary!B:D,3,0)</f>
        <v>Casos de Uso</v>
      </c>
    </row>
    <row r="267" spans="1:2">
      <c r="A267" s="2" t="s">
        <v>544</v>
      </c>
      <c r="B267" s="2" t="str">
        <f>VLOOKUP(A267,Glossary!B:D,3,0)</f>
        <v>ID de Usuário</v>
      </c>
    </row>
    <row r="268" spans="1:2">
      <c r="A268" s="2" t="s">
        <v>546</v>
      </c>
      <c r="B268" s="2" t="str">
        <f>VLOOKUP(A268,Glossary!B:D,3,0)</f>
        <v>Presença Valorosa</v>
      </c>
    </row>
    <row r="269" spans="1:2">
      <c r="A269" s="2" t="s">
        <v>548</v>
      </c>
      <c r="B269" s="2" t="str">
        <f>VLOOKUP(A269,Glossary!B:D,3,0)</f>
        <v>Veloci-Rapper</v>
      </c>
    </row>
    <row r="270" spans="1:2">
      <c r="A270" s="2" t="s">
        <v>549</v>
      </c>
      <c r="B270" s="2" t="str">
        <f>VLOOKUP(A270,Glossary!B:D,3,0)</f>
        <v>Mascotes Malucos</v>
      </c>
    </row>
    <row r="271" spans="1:2">
      <c r="A271" s="2" t="s">
        <v>13</v>
      </c>
      <c r="B271" s="2" t="str">
        <f>VLOOKUP(A271,Glossary!B:D,3,0)</f>
        <v>Guerreiro(a)</v>
      </c>
    </row>
    <row r="272" spans="1:2">
      <c r="A272" s="2" t="s">
        <v>45</v>
      </c>
      <c r="B272" s="2" t="str">
        <f>VLOOKUP(A272,Glossary!B:D,3,0)</f>
        <v>Baleia</v>
      </c>
    </row>
    <row r="273" spans="1:2">
      <c r="A273" s="2" t="s">
        <v>1</v>
      </c>
      <c r="B273" s="2" t="str">
        <f>VLOOKUP(A273,Glossary!B:D,3,0)</f>
        <v>De corda</v>
      </c>
    </row>
    <row r="274" spans="1:2">
      <c r="A274" s="2" t="s">
        <v>552</v>
      </c>
      <c r="B274" s="2" t="str">
        <f>VLOOKUP(A274,Glossary!B:D,3,0)</f>
        <v>Pacote de Missões Familiares Bruxos</v>
      </c>
    </row>
    <row r="275" spans="1:2">
      <c r="A275" s="2" t="s">
        <v>554</v>
      </c>
      <c r="B275" s="2" t="str">
        <f>VLOOKUP(A275,Glossary!B:D,3,0)</f>
        <v>Mamute Felpudo</v>
      </c>
    </row>
    <row r="276" spans="1:2">
      <c r="A276" s="2" t="s">
        <v>556</v>
      </c>
      <c r="B276" s="2" t="str">
        <f>VLOOKUP(A276,Glossary!B:D,3,0)</f>
        <v>Oficina</v>
      </c>
    </row>
    <row r="277" spans="1:2">
      <c r="A277" s="2" t="s">
        <v>558</v>
      </c>
      <c r="B277" s="2" t="str">
        <f>VLOOKUP(A277,Glossary!B:D,3,0)</f>
        <v>Chefão Global</v>
      </c>
    </row>
    <row r="278" spans="1:2">
      <c r="A278" s="2" t="s">
        <v>560</v>
      </c>
      <c r="B278" s="2" t="str">
        <f>VLOOKUP(A278,Glossary!B:D,3,0)</f>
        <v>Evento de Chefão Global</v>
      </c>
    </row>
    <row r="279" spans="1:2">
      <c r="A279" s="2" t="s">
        <v>562</v>
      </c>
      <c r="B279" s="2" t="str">
        <f>VLOOKUP(A279,Glossary!B:D,3,0)</f>
        <v>EXP</v>
      </c>
    </row>
    <row r="280" spans="1:2">
      <c r="A280" s="2" t="s">
        <v>564</v>
      </c>
      <c r="B280" s="2" t="str">
        <f>VLOOKUP(A280,Glossary!B:D,3,0)</f>
        <v>Iéti</v>
      </c>
    </row>
    <row r="281" spans="1:2">
      <c r="A281" s="2" t="s">
        <v>566</v>
      </c>
      <c r="B281" s="2" t="str">
        <f>VLOOKUP(A281,Glossary!B:D,3,0)</f>
        <v>Você Me Tem Como Amigo!</v>
      </c>
    </row>
    <row r="282" spans="1:2">
      <c r="A282" s="2" t="s">
        <v>568</v>
      </c>
      <c r="B282" s="2" t="str">
        <f>VLOOKUP(A282,Glossary!B:D,3,0)</f>
        <v>Caça ao Ovo</v>
      </c>
    </row>
    <row r="283" spans="1:2">
      <c r="A283" s="2" t="s">
        <v>570</v>
      </c>
      <c r="B283" s="2" t="str">
        <f>VLOOKUP(A283,Glossary!B:D,3,0)</f>
        <v>Enigmático</v>
      </c>
    </row>
    <row r="284" spans="1:2">
      <c r="A284" s="2" t="s">
        <v>572</v>
      </c>
      <c r="B284" s="2" t="str">
        <f>VLOOKUP(A284,Glossary!B:D,3,0)</f>
        <v>Alcachofra</v>
      </c>
    </row>
    <row r="285" spans="1:2">
      <c r="A285" s="2" t="s">
        <v>574</v>
      </c>
      <c r="B285" s="2" t="str">
        <f>VLOOKUP(A285,Glossary!B:D,3,0)</f>
        <v>Taboas</v>
      </c>
    </row>
    <row r="286" spans="1:2">
      <c r="A286" s="2" t="s">
        <v>576</v>
      </c>
    </row>
  </sheetData>
  <pageMargins left="0.75" right="0.75" top="1" bottom="1" header="0.5" footer="0.5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A58A94-BB54-4C90-9AF2-4B2419BE84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Glossary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2020-11-28T11:08:37Z</dcterms:created>
  <dcterms:modified xsi:type="dcterms:W3CDTF">2021-11-10T01:15:54Z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1033-11.1.0.9719</vt:lpwstr>
  </property>
</Properties>
</file>